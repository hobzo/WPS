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1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<sst xmlns="http://schemas.openxmlformats.org/spreadsheetml/2006/main" count="19" uniqueCount="19">
  <si>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月份</t>
  </si>
  <si>
    <t>支出金额</t>
  </si>
  <si>
    <t>预算金额</t>
  </si>
  <si>
    <t>支出占比</t>
  </si>
  <si>
    <t>预算占比</t>
  </si>
  <si>
    <t>支出占比预算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</si>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</sst>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4" tint="-0.25"/>
      <name val="微软雅黑"/>
      <charset val="134"/>
    </font>
    <font>
      <sz val="11"/>
      <color theme="0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3" fontId="1" fillId="0" borderId="2" xfId="0" applyNumberFormat="1" applyFont="1" applyFill="1" applyBorder="1" applyAlignment="1">
      <alignment horizontal="center" vertical="center"/>
    </xf>
    <xf numFmtId="10" fontId="1" fillId="0" borderId="3" xfId="9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3" fillId="0" borderId="2" xfId="0" applyNumberFormat="1" applyFont="1" applyFill="1" applyBorder="1" applyAlignment="1">
      <alignment horizontal="center" vertical="center"/>
    </xf>
    <xf numFmtId="9" fontId="3" fillId="0" borderId="2" xfId="9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10" fontId="3" fillId="0" borderId="3" xfId="9" applyNumberFormat="1" applyFont="1" applyBorder="1" applyAlignment="1">
      <alignment horizontal="center" vertical="center"/>
    </xf>
    <xf numFmtId="10" fontId="4" fillId="0" borderId="0" xfId="0" applyNumberFormat="1" applyFont="1">
      <alignment vertical="center"/>
    </xf>
    <xf numFmtId="10" fontId="1" fillId="0" borderId="0" xfId="0" applyNumberFormat="1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Sheet1!$F$2:$F$13</c:f>
              <c:numCache>
                <c:formatCode>0.00%</c:formatCode>
                <c:ptCount val="12"/>
                <c:pt idx="0">
                  <c:v>0.666666666666667</c:v>
                </c:pt>
                <c:pt idx="1">
                  <c:v>0.7</c:v>
                </c:pt>
                <c:pt idx="2">
                  <c:v>0.7</c:v>
                </c:pt>
                <c:pt idx="3">
                  <c:v>0.8</c:v>
                </c:pt>
                <c:pt idx="4">
                  <c:v>0.8125</c:v>
                </c:pt>
                <c:pt idx="5">
                  <c:v>0.5</c:v>
                </c:pt>
                <c:pt idx="6">
                  <c:v>0.72</c:v>
                </c:pt>
                <c:pt idx="7">
                  <c:v>0.8</c:v>
                </c:pt>
                <c:pt idx="8">
                  <c:v>0.9</c:v>
                </c:pt>
                <c:pt idx="9">
                  <c:v>0.8</c:v>
                </c:pt>
                <c:pt idx="10">
                  <c:v>0.714285714285714</c:v>
                </c:pt>
                <c:pt idx="11">
                  <c:v>0.857142857142857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480671"/>
        <c:axId val="711557953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Sheet1!$D$2:$D$13</c:f>
              <c:numCache>
                <c:formatCode>0.00%</c:formatCode>
                <c:ptCount val="12"/>
                <c:pt idx="0">
                  <c:v>0.075</c:v>
                </c:pt>
                <c:pt idx="1">
                  <c:v>0.07875</c:v>
                </c:pt>
                <c:pt idx="2">
                  <c:v>0.0875</c:v>
                </c:pt>
                <c:pt idx="3">
                  <c:v>0.1</c:v>
                </c:pt>
                <c:pt idx="4">
                  <c:v>0.08125</c:v>
                </c:pt>
                <c:pt idx="5">
                  <c:v>0.0375</c:v>
                </c:pt>
                <c:pt idx="6">
                  <c:v>0.09</c:v>
                </c:pt>
                <c:pt idx="7">
                  <c:v>0.1</c:v>
                </c:pt>
                <c:pt idx="8">
                  <c:v>0.1125</c:v>
                </c:pt>
                <c:pt idx="9">
                  <c:v>0.1</c:v>
                </c:pt>
                <c:pt idx="10">
                  <c:v>0.0625</c:v>
                </c:pt>
                <c:pt idx="11">
                  <c:v>0.075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893393"/>
        <c:axId val="790296362"/>
      </c:lineChart>
      <c:catAx>
        <c:axId val="727480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557953"/>
        <c:crosses val="autoZero"/>
        <c:auto val="1"/>
        <c:lblAlgn val="ctr"/>
        <c:lblOffset val="100"/>
        <c:noMultiLvlLbl val="0"/>
      </c:catAx>
      <c:valAx>
        <c:axId val="7115579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480671"/>
        <c:crosses val="autoZero"/>
        <c:crossBetween val="between"/>
      </c:valAx>
      <c:catAx>
        <c:axId val="63989339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296362"/>
        <c:crosses val="autoZero"/>
        <c:auto val="1"/>
        <c:lblAlgn val="ctr"/>
        <c:lblOffset val="100"/>
        <c:noMultiLvlLbl val="0"/>
      </c:catAx>
      <c:valAx>
        <c:axId val="79029636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89339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Sheet1!$B$2:$B$13</c:f>
              <c:numCache>
                <c:formatCode>_ * #,##0.00_ ;_ * \-#,##0.00_ ;_ * "-"??_ ;_ @_ </c:formatCode>
                <c:ptCount val="12"/>
                <c:pt idx="0">
                  <c:v>600</c:v>
                </c:pt>
                <c:pt idx="1">
                  <c:v>630</c:v>
                </c:pt>
                <c:pt idx="2">
                  <c:v>700</c:v>
                </c:pt>
                <c:pt idx="3">
                  <c:v>800</c:v>
                </c:pt>
                <c:pt idx="4">
                  <c:v>650</c:v>
                </c:pt>
                <c:pt idx="5">
                  <c:v>300</c:v>
                </c:pt>
                <c:pt idx="6">
                  <c:v>720</c:v>
                </c:pt>
                <c:pt idx="7">
                  <c:v>800</c:v>
                </c:pt>
                <c:pt idx="8">
                  <c:v>900</c:v>
                </c:pt>
                <c:pt idx="9">
                  <c:v>800</c:v>
                </c:pt>
                <c:pt idx="10">
                  <c:v>500</c:v>
                </c:pt>
                <c:pt idx="11">
                  <c:v>600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Sheet1!$C$2:$C$13</c:f>
              <c:numCache>
                <c:formatCode>_ * #,##0.00_ ;_ * \-#,##0.00_ ;_ * "-"??_ ;_ @_ </c:formatCode>
                <c:ptCount val="12"/>
                <c:pt idx="0">
                  <c:v>900</c:v>
                </c:pt>
                <c:pt idx="1">
                  <c:v>900</c:v>
                </c:pt>
                <c:pt idx="2">
                  <c:v>1000</c:v>
                </c:pt>
                <c:pt idx="3">
                  <c:v>1000</c:v>
                </c:pt>
                <c:pt idx="4">
                  <c:v>800</c:v>
                </c:pt>
                <c:pt idx="5">
                  <c:v>600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700</c:v>
                </c:pt>
                <c:pt idx="11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217918"/>
        <c:axId val="20569033"/>
      </c:barChart>
      <c:catAx>
        <c:axId val="7622179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69033"/>
        <c:crosses val="autoZero"/>
        <c:auto val="1"/>
        <c:lblAlgn val="ctr"/>
        <c:lblOffset val="100"/>
        <c:noMultiLvlLbl val="0"/>
      </c:catAx>
      <c:valAx>
        <c:axId val="205690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2179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008473399083"/>
          <c:y val="0.00687127805771874"/>
          <c:w val="0.482150298652591"/>
          <c:h val="0.795006871278058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Sheet1!$F$14:$G$14</c:f>
              <c:numCache>
                <c:formatCode>0.00%</c:formatCode>
                <c:ptCount val="2"/>
                <c:pt idx="0">
                  <c:v>0.754716981132076</c:v>
                </c:pt>
                <c:pt idx="1">
                  <c:v>0.245283018867924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349250</xdr:colOff>
      <xdr:row>23</xdr:row>
      <xdr:rowOff>183515</xdr:rowOff>
    </xdr:from>
    <xdr:to>
      <xdr:col>5</xdr:col>
      <xdr:colOff>586105</xdr:colOff>
      <xdr:row>37</xdr:row>
      <xdr:rowOff>154305</xdr:rowOff>
    </xdr:to>
    <xdr:graphicFrame>
      <xdr:nvGraphicFramePr>
        <xdr:cNvPr id="3" name="图表 2"/>
        <xdr:cNvGraphicFramePr/>
      </xdr:nvGraphicFramePr>
      <xdr:xfrm>
        <a:off x="349250" y="5069205"/>
        <a:ext cx="4572000" cy="2868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21</xdr:row>
      <xdr:rowOff>123825</xdr:rowOff>
    </xdr:from>
    <xdr:to>
      <xdr:col>10</xdr:col>
      <xdr:colOff>458470</xdr:colOff>
      <xdr:row>24</xdr:row>
      <xdr:rowOff>15240</xdr:rowOff>
    </xdr:to>
    <xdr:sp>
      <xdr:nvSpPr>
        <xdr:cNvPr id="5" name="文本框 4"/>
        <xdr:cNvSpPr txBox="1"/>
      </xdr:nvSpPr>
      <xdr:spPr>
        <a:xfrm>
          <a:off x="7221855" y="4595495"/>
          <a:ext cx="1325245" cy="512445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n-US" altLang="zh-CN" sz="2400"/>
            <a:t>75.47%</a:t>
          </a:r>
          <a:endParaRPr lang="en-US" altLang="zh-CN" sz="2400"/>
        </a:p>
      </xdr:txBody>
    </xdr:sp>
    <xdr:clientData/>
  </xdr:twoCellAnchor>
  <xdr:twoCellAnchor>
    <xdr:from>
      <xdr:col>12</xdr:col>
      <xdr:colOff>434975</xdr:colOff>
      <xdr:row>23</xdr:row>
      <xdr:rowOff>193040</xdr:rowOff>
    </xdr:from>
    <xdr:to>
      <xdr:col>19</xdr:col>
      <xdr:colOff>207010</xdr:colOff>
      <xdr:row>37</xdr:row>
      <xdr:rowOff>162560</xdr:rowOff>
    </xdr:to>
    <xdr:graphicFrame>
      <xdr:nvGraphicFramePr>
        <xdr:cNvPr id="7" name="图表 6"/>
        <xdr:cNvGraphicFramePr/>
      </xdr:nvGraphicFramePr>
      <xdr:xfrm>
        <a:off x="9895205" y="5078730"/>
        <a:ext cx="4572635" cy="2867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1000125</xdr:colOff>
      <xdr:row>24</xdr:row>
      <xdr:rowOff>39370</xdr:rowOff>
    </xdr:from>
    <xdr:to>
      <xdr:col>12</xdr:col>
      <xdr:colOff>447040</xdr:colOff>
      <xdr:row>38</xdr:row>
      <xdr:rowOff>11430</xdr:rowOff>
    </xdr:to>
    <xdr:graphicFrame>
      <xdr:nvGraphicFramePr>
        <xdr:cNvPr id="2" name="图表 1"/>
        <xdr:cNvGraphicFramePr/>
      </xdr:nvGraphicFramePr>
      <xdr:xfrm>
        <a:off x="5335270" y="5132070"/>
        <a:ext cx="4572000" cy="287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showGridLines="0" tabSelected="1" topLeftCell="A3" workbookViewId="0">
      <selection activeCell="P20" sqref="P20"/>
    </sheetView>
  </sheetViews>
  <sheetFormatPr defaultColWidth="9" defaultRowHeight="16.3" outlineLevelCol="7"/>
  <cols>
    <col min="1" max="1" width="10.2583333333333" style="1" customWidth="1"/>
    <col min="2" max="2" width="10.875" style="1" customWidth="1"/>
    <col min="3" max="3" width="13.125" style="1" customWidth="1"/>
    <col min="4" max="4" width="10.875" style="1" customWidth="1"/>
    <col min="5" max="5" width="11.7583333333333" style="1" customWidth="1"/>
    <col min="6" max="6" width="13.2583333333333" style="1" customWidth="1"/>
    <col min="7" max="16384" width="9" style="1"/>
  </cols>
  <sheetData>
    <row r="1" ht="17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7" customHeight="1" spans="1:6">
      <c r="A2" s="3" t="s">
        <v>6</v>
      </c>
      <c r="B2" s="4">
        <v>600</v>
      </c>
      <c r="C2" s="4">
        <v>900</v>
      </c>
      <c r="D2" s="5">
        <v>0.075</v>
      </c>
      <c r="E2" s="5">
        <v>0.0849056603773585</v>
      </c>
      <c r="F2" s="5">
        <v>0.666666666666667</v>
      </c>
    </row>
    <row r="3" ht="17" customHeight="1" spans="1:6">
      <c r="A3" s="3" t="s">
        <v>7</v>
      </c>
      <c r="B3" s="4">
        <v>630</v>
      </c>
      <c r="C3" s="4">
        <v>900</v>
      </c>
      <c r="D3" s="5">
        <v>0.07875</v>
      </c>
      <c r="E3" s="5">
        <v>0.0849056603773585</v>
      </c>
      <c r="F3" s="5">
        <v>0.7</v>
      </c>
    </row>
    <row r="4" ht="17" customHeight="1" spans="1:6">
      <c r="A4" s="3" t="s">
        <v>8</v>
      </c>
      <c r="B4" s="4">
        <v>700</v>
      </c>
      <c r="C4" s="4">
        <v>1000</v>
      </c>
      <c r="D4" s="5">
        <v>0.0875</v>
      </c>
      <c r="E4" s="5">
        <v>0.0943396226415094</v>
      </c>
      <c r="F4" s="5">
        <v>0.7</v>
      </c>
    </row>
    <row r="5" ht="17" customHeight="1" spans="1:6">
      <c r="A5" s="3" t="s">
        <v>9</v>
      </c>
      <c r="B5" s="4">
        <v>800</v>
      </c>
      <c r="C5" s="4">
        <v>1000</v>
      </c>
      <c r="D5" s="5">
        <v>0.1</v>
      </c>
      <c r="E5" s="5">
        <v>0.0943396226415094</v>
      </c>
      <c r="F5" s="5">
        <v>0.8</v>
      </c>
    </row>
    <row r="6" ht="17" customHeight="1" spans="1:6">
      <c r="A6" s="3" t="s">
        <v>10</v>
      </c>
      <c r="B6" s="4">
        <v>650</v>
      </c>
      <c r="C6" s="4">
        <v>800</v>
      </c>
      <c r="D6" s="5">
        <v>0.08125</v>
      </c>
      <c r="E6" s="5">
        <v>0.0754716981132075</v>
      </c>
      <c r="F6" s="5">
        <v>0.8125</v>
      </c>
    </row>
    <row r="7" ht="17" customHeight="1" spans="1:6">
      <c r="A7" s="3" t="s">
        <v>11</v>
      </c>
      <c r="B7" s="4">
        <v>300</v>
      </c>
      <c r="C7" s="4">
        <v>600</v>
      </c>
      <c r="D7" s="5">
        <v>0.0375</v>
      </c>
      <c r="E7" s="5">
        <v>0.0566037735849057</v>
      </c>
      <c r="F7" s="5">
        <v>0.5</v>
      </c>
    </row>
    <row r="8" ht="17" customHeight="1" spans="1:6">
      <c r="A8" s="3" t="s">
        <v>12</v>
      </c>
      <c r="B8" s="4">
        <v>720</v>
      </c>
      <c r="C8" s="4">
        <v>1000</v>
      </c>
      <c r="D8" s="5">
        <v>0.09</v>
      </c>
      <c r="E8" s="5">
        <v>0.0943396226415094</v>
      </c>
      <c r="F8" s="5">
        <v>0.72</v>
      </c>
    </row>
    <row r="9" ht="17" customHeight="1" spans="1:6">
      <c r="A9" s="3" t="s">
        <v>13</v>
      </c>
      <c r="B9" s="4">
        <v>800</v>
      </c>
      <c r="C9" s="4">
        <v>1000</v>
      </c>
      <c r="D9" s="5">
        <v>0.1</v>
      </c>
      <c r="E9" s="5">
        <v>0.0943396226415094</v>
      </c>
      <c r="F9" s="5">
        <v>0.8</v>
      </c>
    </row>
    <row r="10" ht="17" customHeight="1" spans="1:6">
      <c r="A10" s="3" t="s">
        <v>14</v>
      </c>
      <c r="B10" s="4">
        <v>900</v>
      </c>
      <c r="C10" s="4">
        <v>1000</v>
      </c>
      <c r="D10" s="5">
        <v>0.1125</v>
      </c>
      <c r="E10" s="5">
        <v>0.0943396226415094</v>
      </c>
      <c r="F10" s="5">
        <v>0.9</v>
      </c>
    </row>
    <row r="11" ht="17" customHeight="1" spans="1:6">
      <c r="A11" s="3" t="s">
        <v>15</v>
      </c>
      <c r="B11" s="4">
        <v>800</v>
      </c>
      <c r="C11" s="4">
        <v>1000</v>
      </c>
      <c r="D11" s="5">
        <v>0.1</v>
      </c>
      <c r="E11" s="5">
        <v>0.0943396226415094</v>
      </c>
      <c r="F11" s="5">
        <v>0.8</v>
      </c>
    </row>
    <row r="12" ht="17" customHeight="1" spans="1:6">
      <c r="A12" s="3" t="s">
        <v>16</v>
      </c>
      <c r="B12" s="4">
        <v>500</v>
      </c>
      <c r="C12" s="4">
        <v>700</v>
      </c>
      <c r="D12" s="5">
        <v>0.0625</v>
      </c>
      <c r="E12" s="5">
        <v>0.0660377358490566</v>
      </c>
      <c r="F12" s="5">
        <v>0.714285714285714</v>
      </c>
    </row>
    <row r="13" ht="17" customHeight="1" spans="1:6">
      <c r="A13" s="3" t="s">
        <v>17</v>
      </c>
      <c r="B13" s="4">
        <v>600</v>
      </c>
      <c r="C13" s="4">
        <v>700</v>
      </c>
      <c r="D13" s="5">
        <v>0.075</v>
      </c>
      <c r="E13" s="5">
        <v>0.0660377358490566</v>
      </c>
      <c r="F13" s="5">
        <v>0.857142857142857</v>
      </c>
    </row>
    <row r="14" ht="17" customHeight="1" spans="1:7">
      <c r="A14" s="6" t="s">
        <v>18</v>
      </c>
      <c r="B14" s="7">
        <f>SUM(B2:B13)</f>
        <v>8000</v>
      </c>
      <c r="C14" s="7">
        <f t="shared" ref="B14:E14" si="0">SUM(C2:C13)</f>
        <v>10600</v>
      </c>
      <c r="D14" s="8">
        <f t="shared" si="0"/>
        <v>1</v>
      </c>
      <c r="E14" s="8">
        <f t="shared" si="0"/>
        <v>1</v>
      </c>
      <c r="F14" s="12">
        <f>B14/C14</f>
        <v>0.754716981132076</v>
      </c>
      <c r="G14" s="13">
        <f>1-F14</f>
        <v>0.245283018867924</v>
      </c>
    </row>
    <row r="15" spans="1:6">
      <c r="A15" s="9"/>
      <c r="B15" s="9"/>
      <c r="C15" s="9"/>
      <c r="D15" s="10"/>
      <c r="E15" s="10"/>
      <c r="F15" s="14"/>
    </row>
    <row r="16" spans="1:8">
      <c r="A16" s="9"/>
      <c r="B16" s="9"/>
      <c r="C16" s="9"/>
      <c r="D16" s="10"/>
      <c r="E16" s="10"/>
      <c r="F16" s="10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yuan_103381607392202</cp:lastModifiedBy>
  <dcterms:created xsi:type="dcterms:W3CDTF">2020-08-10T09:21:00Z</dcterms:created>
  <dcterms:modified xsi:type="dcterms:W3CDTF">2026-08-26T04:07:07Z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AB56BDA7C59D4472A0E6C2F6A19B8B64</vt:lpwstr>
  </property>
</Properties>
</file>