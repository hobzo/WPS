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<sst xmlns="http://schemas.openxmlformats.org/spreadsheetml/2006/main" count="16" uniqueCount="16">
  <si>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姓名</t>
  </si>
  <si>
    <t>基本工资</t>
  </si>
  <si>
    <t>合计</t>
  </si>
  <si>
    <t>孙成红</t>
  </si>
  <si>
    <t>郝埃连</t>
  </si>
  <si>
    <t>丁冬芹</t>
  </si>
  <si>
    <t>孙立军</t>
  </si>
  <si>
    <t>张亮</t>
  </si>
  <si>
    <t>贾大林</t>
  </si>
  <si>
    <t>王璐</t>
  </si>
  <si>
    <t>郑成枝</t>
  </si>
  <si>
    <t>张国厚</t>
  </si>
  <si>
    <t>杨福林</t>
  </si>
  <si>
    <t>日期</t>
  </si>
  <si>
    <t>其它日期</t>
  </si>
  <si>
    <t>计算倍数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</si>
</sst>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12" borderId="10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9" fillId="23" borderId="14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58" fontId="0" fillId="0" borderId="3" xfId="0" applyNumberFormat="1" applyFill="1" applyBorder="1" applyAlignment="1">
      <alignment horizontal="center" vertical="center"/>
    </xf>
    <xf numFmtId="58" fontId="0" fillId="0" borderId="4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L10" sqref="L10"/>
    </sheetView>
  </sheetViews>
  <sheetFormatPr defaultColWidth="8.84259259259259" defaultRowHeight="14.4" outlineLevelCol="7"/>
  <cols>
    <col min="1" max="2" width="8.84259259259259" style="1"/>
    <col min="3" max="8" width="12.8888888888889" style="1"/>
    <col min="9" max="16380" width="8.84259259259259" style="1"/>
  </cols>
  <sheetData>
    <row r="1" ht="19" customHeight="1" spans="1:8">
      <c r="A1" s="2" t="s">
        <v>0</v>
      </c>
      <c r="B1" s="2" t="s">
        <v>1</v>
      </c>
      <c r="C1" s="3">
        <v>44682</v>
      </c>
      <c r="D1" s="3">
        <v>44683</v>
      </c>
      <c r="E1" s="3">
        <v>44684</v>
      </c>
      <c r="F1" s="3">
        <v>44685</v>
      </c>
      <c r="G1" s="3">
        <v>44686</v>
      </c>
      <c r="H1" s="2" t="s">
        <v>2</v>
      </c>
    </row>
    <row r="2" ht="19" customHeight="1" spans="1:8">
      <c r="A2" s="4" t="s">
        <v>3</v>
      </c>
      <c r="B2" s="5">
        <v>1000</v>
      </c>
      <c r="C2" s="6">
        <f>B2/21.75+$B$14*8*B2/(21.75*8)</f>
        <v>183.908045977012</v>
      </c>
      <c r="D2" s="6">
        <f>B2/21.75+$C$14*8*B2/(21.75*8)</f>
        <v>137.931034482759</v>
      </c>
      <c r="E2" s="6">
        <v>137.931034482759</v>
      </c>
      <c r="F2" s="6">
        <v>137.931034482759</v>
      </c>
      <c r="G2" s="6">
        <v>137.931034482759</v>
      </c>
      <c r="H2" s="6">
        <f>SUM(C2:G2)</f>
        <v>735.632183908048</v>
      </c>
    </row>
    <row r="3" ht="19" customHeight="1" spans="1:8">
      <c r="A3" s="4" t="s">
        <v>4</v>
      </c>
      <c r="B3" s="5">
        <v>1200</v>
      </c>
      <c r="C3" s="6">
        <f t="shared" ref="C3:C11" si="0">B3/21.75+$B$14*8*B3/(21.75*8)</f>
        <v>220.689655172414</v>
      </c>
      <c r="D3" s="6">
        <f t="shared" ref="D3:D11" si="1">B3/21.75+$C$14*8*B3/(21.75*8)</f>
        <v>165.51724137931</v>
      </c>
      <c r="E3" s="6">
        <v>165.51724137931</v>
      </c>
      <c r="F3" s="6">
        <v>165.51724137931</v>
      </c>
      <c r="G3" s="6">
        <v>165.51724137931</v>
      </c>
      <c r="H3" s="6">
        <f t="shared" ref="H3:H11" si="2">SUM(C3:G3)</f>
        <v>882.758620689654</v>
      </c>
    </row>
    <row r="4" ht="19" customHeight="1" spans="1:8">
      <c r="A4" s="4" t="s">
        <v>5</v>
      </c>
      <c r="B4" s="5">
        <v>1400</v>
      </c>
      <c r="C4" s="6">
        <f t="shared" si="0"/>
        <v>257.471264367816</v>
      </c>
      <c r="D4" s="6">
        <f t="shared" si="1"/>
        <v>193.103448275862</v>
      </c>
      <c r="E4" s="6">
        <v>193.103448275862</v>
      </c>
      <c r="F4" s="6">
        <v>193.103448275862</v>
      </c>
      <c r="G4" s="6">
        <v>193.103448275862</v>
      </c>
      <c r="H4" s="6">
        <f t="shared" si="2"/>
        <v>1029.88505747126</v>
      </c>
    </row>
    <row r="5" ht="19" customHeight="1" spans="1:8">
      <c r="A5" s="4" t="s">
        <v>6</v>
      </c>
      <c r="B5" s="5">
        <v>1600</v>
      </c>
      <c r="C5" s="6">
        <f t="shared" si="0"/>
        <v>294.252873563218</v>
      </c>
      <c r="D5" s="6">
        <f t="shared" si="1"/>
        <v>220.689655172414</v>
      </c>
      <c r="E5" s="6">
        <v>220.689655172414</v>
      </c>
      <c r="F5" s="6">
        <v>220.689655172414</v>
      </c>
      <c r="G5" s="6">
        <v>220.689655172414</v>
      </c>
      <c r="H5" s="6">
        <f t="shared" si="2"/>
        <v>1177.01149425287</v>
      </c>
    </row>
    <row r="6" ht="19" customHeight="1" spans="1:8">
      <c r="A6" s="4" t="s">
        <v>7</v>
      </c>
      <c r="B6" s="5">
        <v>1800</v>
      </c>
      <c r="C6" s="6">
        <f t="shared" si="0"/>
        <v>331.034482758621</v>
      </c>
      <c r="D6" s="6">
        <f t="shared" si="1"/>
        <v>248.275862068966</v>
      </c>
      <c r="E6" s="6">
        <v>248.275862068966</v>
      </c>
      <c r="F6" s="6">
        <v>248.275862068966</v>
      </c>
      <c r="G6" s="6">
        <v>248.275862068966</v>
      </c>
      <c r="H6" s="6">
        <f t="shared" si="2"/>
        <v>1324.13793103449</v>
      </c>
    </row>
    <row r="7" ht="19" customHeight="1" spans="1:8">
      <c r="A7" s="4" t="s">
        <v>8</v>
      </c>
      <c r="B7" s="5">
        <v>2000</v>
      </c>
      <c r="C7" s="6">
        <f t="shared" si="0"/>
        <v>367.816091954023</v>
      </c>
      <c r="D7" s="6">
        <f t="shared" si="1"/>
        <v>275.862068965517</v>
      </c>
      <c r="E7" s="6">
        <v>275.862068965517</v>
      </c>
      <c r="F7" s="6">
        <v>275.862068965517</v>
      </c>
      <c r="G7" s="6">
        <v>275.862068965517</v>
      </c>
      <c r="H7" s="6">
        <f t="shared" si="2"/>
        <v>1471.26436781609</v>
      </c>
    </row>
    <row r="8" ht="19" customHeight="1" spans="1:8">
      <c r="A8" s="4" t="s">
        <v>9</v>
      </c>
      <c r="B8" s="5">
        <v>2200</v>
      </c>
      <c r="C8" s="6">
        <f t="shared" si="0"/>
        <v>404.597701149425</v>
      </c>
      <c r="D8" s="6">
        <f t="shared" si="1"/>
        <v>303.448275862069</v>
      </c>
      <c r="E8" s="6">
        <v>303.448275862069</v>
      </c>
      <c r="F8" s="6">
        <v>303.448275862069</v>
      </c>
      <c r="G8" s="6">
        <v>303.448275862069</v>
      </c>
      <c r="H8" s="6">
        <f t="shared" si="2"/>
        <v>1618.3908045977</v>
      </c>
    </row>
    <row r="9" ht="19" customHeight="1" spans="1:8">
      <c r="A9" s="4" t="s">
        <v>10</v>
      </c>
      <c r="B9" s="5">
        <v>2400</v>
      </c>
      <c r="C9" s="6">
        <f t="shared" si="0"/>
        <v>441.379310344828</v>
      </c>
      <c r="D9" s="6">
        <f t="shared" si="1"/>
        <v>331.034482758621</v>
      </c>
      <c r="E9" s="6">
        <v>331.034482758621</v>
      </c>
      <c r="F9" s="6">
        <v>331.034482758621</v>
      </c>
      <c r="G9" s="6">
        <v>331.034482758621</v>
      </c>
      <c r="H9" s="6">
        <f t="shared" si="2"/>
        <v>1765.51724137931</v>
      </c>
    </row>
    <row r="10" ht="19" customHeight="1" spans="1:8">
      <c r="A10" s="4" t="s">
        <v>11</v>
      </c>
      <c r="B10" s="5">
        <v>2600</v>
      </c>
      <c r="C10" s="6">
        <f t="shared" si="0"/>
        <v>478.16091954023</v>
      </c>
      <c r="D10" s="6">
        <f t="shared" si="1"/>
        <v>358.620689655172</v>
      </c>
      <c r="E10" s="6">
        <v>358.620689655172</v>
      </c>
      <c r="F10" s="6">
        <v>358.620689655172</v>
      </c>
      <c r="G10" s="6">
        <v>358.620689655172</v>
      </c>
      <c r="H10" s="6">
        <f t="shared" si="2"/>
        <v>1912.64367816092</v>
      </c>
    </row>
    <row r="11" ht="19" customHeight="1" spans="1:8">
      <c r="A11" s="4" t="s">
        <v>12</v>
      </c>
      <c r="B11" s="5">
        <v>2800</v>
      </c>
      <c r="C11" s="6">
        <f t="shared" si="0"/>
        <v>514.942528735632</v>
      </c>
      <c r="D11" s="6">
        <f t="shared" si="1"/>
        <v>386.206896551724</v>
      </c>
      <c r="E11" s="6">
        <v>386.206896551724</v>
      </c>
      <c r="F11" s="6">
        <v>386.206896551724</v>
      </c>
      <c r="G11" s="6">
        <v>386.206896551724</v>
      </c>
      <c r="H11" s="6">
        <f t="shared" si="2"/>
        <v>2059.77011494253</v>
      </c>
    </row>
    <row r="12" ht="15.15"/>
    <row r="13" spans="1:3">
      <c r="A13" s="7" t="s">
        <v>13</v>
      </c>
      <c r="B13" s="8">
        <v>44682</v>
      </c>
      <c r="C13" s="9" t="s">
        <v>14</v>
      </c>
    </row>
    <row r="14" ht="15.15" spans="1:3">
      <c r="A14" s="10" t="s">
        <v>15</v>
      </c>
      <c r="B14" s="11">
        <v>3</v>
      </c>
      <c r="C14" s="1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早上九点叫醒我</dc:creator>
  <cp:lastModifiedBy>Administrator</cp:lastModifiedBy>
  <dcterms:created xsi:type="dcterms:W3CDTF">2022-10-27T16:20:00Z</dcterms:created>
  <dcterms:modified xsi:type="dcterms:W3CDTF">2022-11-01T03:44:03Z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594AB63470534BAE9F27ACBC118593B7</vt:lpwstr>
  </property>
  <property fmtid="{D5CDD505-2E9C-101B-9397-08002B2CF9AE}" pid="3" name="KSOProductBuildVer">
    <vt:lpwstr>2052-11.8.2.10912</vt:lpwstr>
  </property>
</Properties>
</file>