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<sst xmlns="http://schemas.openxmlformats.org/spreadsheetml/2006/main" count="61" uniqueCount="46">
  <si>
    <t>员工工号</t>
  </si>
  <si>
    <t>员工姓名</t>
  </si>
  <si>
    <t>所属部门</t>
  </si>
  <si>
    <t>基本工资</t>
  </si>
  <si>
    <t>应扣保险</t>
  </si>
  <si>
    <t>考勤金额</t>
  </si>
  <si>
    <t>个人所得税</t>
  </si>
  <si>
    <t>实发工资</t>
  </si>
  <si>
    <t>查询表</t>
  </si>
  <si>
    <t>DSN01</t>
  </si>
  <si>
    <t>刘阳</t>
  </si>
  <si>
    <t>财务部</t>
  </si>
  <si>
    <t>DSN02</t>
  </si>
  <si>
    <t>王萌</t>
  </si>
  <si>
    <t>销售部</t>
  </si>
  <si>
    <t>DSN03</t>
  </si>
  <si>
    <t>许勤</t>
  </si>
  <si>
    <t>人事部</t>
  </si>
  <si>
    <t>DSN04</t>
  </si>
  <si>
    <t>江阳</t>
  </si>
  <si>
    <t>办公室</t>
  </si>
  <si>
    <t>DSN05</t>
  </si>
  <si>
    <t>赵帆</t>
  </si>
  <si>
    <t>DSN06</t>
  </si>
  <si>
    <t>吴乐乐</t>
  </si>
  <si>
    <t>设计部</t>
  </si>
  <si>
    <t>DSN07</t>
  </si>
  <si>
    <t>刘子熙</t>
  </si>
  <si>
    <t>DSN08</t>
  </si>
  <si>
    <t>英佟</t>
  </si>
  <si>
    <t>DSN09</t>
  </si>
  <si>
    <t>顾维佳</t>
  </si>
  <si>
    <t>DSN10</t>
  </si>
  <si>
    <t>李爱</t>
  </si>
  <si>
    <t>DSN11</t>
  </si>
  <si>
    <t>赵翔</t>
  </si>
  <si>
    <t>DSN12</t>
  </si>
  <si>
    <t>丁艾嘉</t>
  </si>
  <si>
    <t>DSN13</t>
  </si>
  <si>
    <t>吴小妹</t>
  </si>
  <si>
    <t>DSN14</t>
  </si>
  <si>
    <t>王凯旋</t>
  </si>
  <si>
    <t>DSN15</t>
  </si>
  <si>
    <t>张攀</t>
  </si>
  <si>
    <t>DSN16</t>
  </si>
  <si>
    <t>刘念</t>
  </si>
</sst>
</file>

<file path=xl/styles.xml><?xml version="1.0" encoding="utf-8"?>
<styleSheet xmlns="http://schemas.openxmlformats.org/spreadsheetml/2006/main">
  <numFmts count="7">
    <numFmt numFmtId="176" formatCode="&quot;￥&quot;#,##0.00_);[Red]\(&quot;￥&quot;#,##0.00\)"/>
    <numFmt numFmtId="177" formatCode="\¥#,##0.00;\¥\-#,##0.00"/>
    <numFmt numFmtId="178" formatCode="000#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Arial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3" fillId="27" borderId="16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13" borderId="1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12" borderId="12" applyNumberFormat="0" applyAlignment="0" applyProtection="0">
      <alignment vertical="center"/>
    </xf>
    <xf numFmtId="0" fontId="13" fillId="13" borderId="13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76" fontId="0" fillId="0" borderId="8" xfId="0" applyNumberFormat="1" applyFont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O36" sqref="O36"/>
    </sheetView>
  </sheetViews>
  <sheetFormatPr defaultColWidth="9" defaultRowHeight="13.35"/>
  <cols>
    <col min="1" max="3" width="9" style="1"/>
    <col min="4" max="8" width="10.375" style="1" customWidth="1"/>
    <col min="9" max="9" width="4.625" style="1" customWidth="1"/>
    <col min="10" max="10" width="9" style="2"/>
    <col min="11" max="12" width="12.5" style="2"/>
    <col min="13" max="16384" width="9" style="1"/>
  </cols>
  <sheetData>
    <row r="1" ht="18.95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10" t="s">
        <v>8</v>
      </c>
      <c r="K1" s="11"/>
      <c r="L1" s="12"/>
    </row>
    <row r="2" ht="18.95" customHeight="1" spans="1:12">
      <c r="A2" s="5" t="s">
        <v>9</v>
      </c>
      <c r="B2" s="6" t="s">
        <v>10</v>
      </c>
      <c r="C2" s="6" t="s">
        <v>11</v>
      </c>
      <c r="D2" s="7">
        <v>4000</v>
      </c>
      <c r="E2" s="7">
        <v>691</v>
      </c>
      <c r="F2" s="8">
        <v>-150</v>
      </c>
      <c r="G2" s="8">
        <v>100.9</v>
      </c>
      <c r="H2" s="9">
        <v>3409</v>
      </c>
      <c r="J2" s="13" t="s">
        <v>1</v>
      </c>
      <c r="K2" s="13" t="s">
        <v>3</v>
      </c>
      <c r="L2" s="13" t="s">
        <v>7</v>
      </c>
    </row>
    <row r="3" ht="18.95" customHeight="1" spans="1:12">
      <c r="A3" s="5" t="s">
        <v>12</v>
      </c>
      <c r="B3" s="6" t="s">
        <v>13</v>
      </c>
      <c r="C3" s="6" t="s">
        <v>14</v>
      </c>
      <c r="D3" s="7">
        <v>3100</v>
      </c>
      <c r="E3" s="7">
        <v>536.2</v>
      </c>
      <c r="F3" s="8">
        <v>-250</v>
      </c>
      <c r="G3" s="8">
        <v>20.21</v>
      </c>
      <c r="H3" s="9">
        <v>2013.8</v>
      </c>
      <c r="J3" s="14" t="s">
        <v>13</v>
      </c>
      <c r="K3" s="15">
        <f>VLOOKUP($J$3,$B$1:$H$17,3,FALSE)</f>
        <v>3100</v>
      </c>
      <c r="L3" s="15">
        <f>VLOOKUP($J$3,$B$1:$H$17,7,FALSE)</f>
        <v>2013.8</v>
      </c>
    </row>
    <row r="4" ht="18.95" customHeight="1" spans="1:8">
      <c r="A4" s="5" t="s">
        <v>15</v>
      </c>
      <c r="B4" s="6" t="s">
        <v>16</v>
      </c>
      <c r="C4" s="6" t="s">
        <v>17</v>
      </c>
      <c r="D4" s="7">
        <v>3700</v>
      </c>
      <c r="E4" s="7">
        <v>639.4</v>
      </c>
      <c r="F4" s="8">
        <v>300</v>
      </c>
      <c r="G4" s="8">
        <v>103.06</v>
      </c>
      <c r="H4" s="9">
        <v>3060.6</v>
      </c>
    </row>
    <row r="5" ht="18.95" customHeight="1" spans="1:8">
      <c r="A5" s="5" t="s">
        <v>18</v>
      </c>
      <c r="B5" s="6" t="s">
        <v>19</v>
      </c>
      <c r="C5" s="6" t="s">
        <v>20</v>
      </c>
      <c r="D5" s="7">
        <v>3900</v>
      </c>
      <c r="E5" s="7">
        <v>673.8</v>
      </c>
      <c r="F5" s="8">
        <v>300</v>
      </c>
      <c r="G5" s="8">
        <v>92.62</v>
      </c>
      <c r="H5" s="9">
        <v>3576.2</v>
      </c>
    </row>
    <row r="6" ht="18.95" customHeight="1" spans="1:8">
      <c r="A6" s="5" t="s">
        <v>21</v>
      </c>
      <c r="B6" s="6" t="s">
        <v>22</v>
      </c>
      <c r="C6" s="6" t="s">
        <v>17</v>
      </c>
      <c r="D6" s="7">
        <v>3500</v>
      </c>
      <c r="E6" s="7">
        <v>605</v>
      </c>
      <c r="F6" s="8">
        <v>300</v>
      </c>
      <c r="G6" s="8">
        <v>1.35</v>
      </c>
      <c r="H6" s="9">
        <v>2895</v>
      </c>
    </row>
    <row r="7" ht="18.95" customHeight="1" spans="1:8">
      <c r="A7" s="5" t="s">
        <v>23</v>
      </c>
      <c r="B7" s="6" t="s">
        <v>24</v>
      </c>
      <c r="C7" s="6" t="s">
        <v>25</v>
      </c>
      <c r="D7" s="7">
        <v>5000</v>
      </c>
      <c r="E7" s="7">
        <v>863</v>
      </c>
      <c r="F7" s="8">
        <v>300</v>
      </c>
      <c r="G7" s="8">
        <v>203.7</v>
      </c>
      <c r="H7" s="9">
        <v>4387</v>
      </c>
    </row>
    <row r="8" ht="18.95" customHeight="1" spans="1:8">
      <c r="A8" s="5" t="s">
        <v>26</v>
      </c>
      <c r="B8" s="6" t="s">
        <v>27</v>
      </c>
      <c r="C8" s="6" t="s">
        <v>14</v>
      </c>
      <c r="D8" s="7">
        <v>5000</v>
      </c>
      <c r="E8" s="7">
        <v>863</v>
      </c>
      <c r="F8" s="8">
        <v>50</v>
      </c>
      <c r="G8" s="8">
        <v>40.11</v>
      </c>
      <c r="H8" s="9">
        <v>3537</v>
      </c>
    </row>
    <row r="9" ht="18.95" customHeight="1" spans="1:8">
      <c r="A9" s="5" t="s">
        <v>28</v>
      </c>
      <c r="B9" s="6" t="s">
        <v>29</v>
      </c>
      <c r="C9" s="6" t="s">
        <v>11</v>
      </c>
      <c r="D9" s="7">
        <v>3200</v>
      </c>
      <c r="E9" s="7">
        <v>553.4</v>
      </c>
      <c r="F9" s="8">
        <v>300</v>
      </c>
      <c r="G9" s="8">
        <v>2.6</v>
      </c>
      <c r="H9" s="9">
        <v>2996.6</v>
      </c>
    </row>
    <row r="10" ht="18.95" customHeight="1" spans="1:8">
      <c r="A10" s="5" t="s">
        <v>30</v>
      </c>
      <c r="B10" s="6" t="s">
        <v>31</v>
      </c>
      <c r="C10" s="6" t="s">
        <v>17</v>
      </c>
      <c r="D10" s="7">
        <v>4200</v>
      </c>
      <c r="E10" s="7">
        <v>725.4</v>
      </c>
      <c r="F10" s="8">
        <v>-50</v>
      </c>
      <c r="G10" s="8">
        <v>97.46</v>
      </c>
      <c r="H10" s="9">
        <v>3124.6</v>
      </c>
    </row>
    <row r="11" ht="18.95" customHeight="1" spans="1:8">
      <c r="A11" s="5" t="s">
        <v>32</v>
      </c>
      <c r="B11" s="6" t="s">
        <v>33</v>
      </c>
      <c r="C11" s="6" t="s">
        <v>20</v>
      </c>
      <c r="D11" s="7">
        <v>3600</v>
      </c>
      <c r="E11" s="7">
        <v>622.2</v>
      </c>
      <c r="F11" s="8">
        <v>300</v>
      </c>
      <c r="G11" s="8">
        <v>14.93</v>
      </c>
      <c r="H11" s="9">
        <v>3577.8</v>
      </c>
    </row>
    <row r="12" ht="18.95" customHeight="1" spans="1:8">
      <c r="A12" s="5" t="s">
        <v>34</v>
      </c>
      <c r="B12" s="6" t="s">
        <v>35</v>
      </c>
      <c r="C12" s="6" t="s">
        <v>20</v>
      </c>
      <c r="D12" s="7">
        <v>4000</v>
      </c>
      <c r="E12" s="7">
        <v>691</v>
      </c>
      <c r="F12" s="8">
        <v>300</v>
      </c>
      <c r="G12" s="8">
        <v>9.27</v>
      </c>
      <c r="H12" s="9">
        <v>3059</v>
      </c>
    </row>
    <row r="13" ht="18.95" customHeight="1" spans="1:8">
      <c r="A13" s="5" t="s">
        <v>36</v>
      </c>
      <c r="B13" s="6" t="s">
        <v>37</v>
      </c>
      <c r="C13" s="6" t="s">
        <v>11</v>
      </c>
      <c r="D13" s="7">
        <v>4200</v>
      </c>
      <c r="E13" s="7">
        <v>725.4</v>
      </c>
      <c r="F13" s="8">
        <v>300</v>
      </c>
      <c r="G13" s="8">
        <v>22.94</v>
      </c>
      <c r="H13" s="9">
        <v>3524.6</v>
      </c>
    </row>
    <row r="14" ht="18.95" customHeight="1" spans="1:8">
      <c r="A14" s="5" t="s">
        <v>38</v>
      </c>
      <c r="B14" s="6" t="s">
        <v>39</v>
      </c>
      <c r="C14" s="6" t="s">
        <v>14</v>
      </c>
      <c r="D14" s="7">
        <v>4500</v>
      </c>
      <c r="E14" s="7">
        <v>777</v>
      </c>
      <c r="F14" s="8">
        <v>300</v>
      </c>
      <c r="G14" s="8">
        <v>30.69</v>
      </c>
      <c r="H14" s="9">
        <v>3823</v>
      </c>
    </row>
    <row r="15" ht="18.95" customHeight="1" spans="1:8">
      <c r="A15" s="5" t="s">
        <v>40</v>
      </c>
      <c r="B15" s="6" t="s">
        <v>41</v>
      </c>
      <c r="C15" s="6" t="s">
        <v>25</v>
      </c>
      <c r="D15" s="7">
        <v>5200</v>
      </c>
      <c r="E15" s="7">
        <v>897.4</v>
      </c>
      <c r="F15" s="8">
        <v>300</v>
      </c>
      <c r="G15" s="8">
        <v>215.26</v>
      </c>
      <c r="H15" s="9">
        <v>4152.6</v>
      </c>
    </row>
    <row r="16" ht="18.95" customHeight="1" spans="1:8">
      <c r="A16" s="5" t="s">
        <v>42</v>
      </c>
      <c r="B16" s="6" t="s">
        <v>43</v>
      </c>
      <c r="C16" s="6" t="s">
        <v>17</v>
      </c>
      <c r="D16" s="7">
        <v>4300</v>
      </c>
      <c r="E16" s="7">
        <v>742.6</v>
      </c>
      <c r="F16" s="8">
        <v>300</v>
      </c>
      <c r="G16" s="8">
        <v>26.02</v>
      </c>
      <c r="H16" s="9">
        <v>3207.4</v>
      </c>
    </row>
    <row r="17" ht="18.95" customHeight="1" spans="1:8">
      <c r="A17" s="5" t="s">
        <v>44</v>
      </c>
      <c r="B17" s="6" t="s">
        <v>45</v>
      </c>
      <c r="C17" s="6" t="s">
        <v>17</v>
      </c>
      <c r="D17" s="7">
        <v>4600</v>
      </c>
      <c r="E17" s="7">
        <v>794.2</v>
      </c>
      <c r="F17" s="8">
        <v>300</v>
      </c>
      <c r="G17" s="8">
        <v>47.58</v>
      </c>
      <c r="H17" s="9">
        <v>4105.8</v>
      </c>
    </row>
  </sheetData>
  <mergeCells count="1">
    <mergeCell ref="J1:L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2020-07-30T02:25:00Z</dcterms:created>
  <dcterms:modified xsi:type="dcterms:W3CDTF">2026-08-26T10:39:21Z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BE68369465B34BB59478ECAF2ADC1F2A</vt:lpwstr>
  </property>
</Properties>
</file>