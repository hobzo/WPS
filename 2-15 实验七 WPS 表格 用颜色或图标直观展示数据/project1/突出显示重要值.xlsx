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285"/>
  </bookViews>
  <sheets>
    <sheet name="年度考核表" sheetId="1" r:id="rId1"/>
  </sheets>
  <calcPr calcId="144525"/>
</workbook>
</file>

<file path=xl/sharedStrings.xml><?xml version="1.0" encoding="utf-8"?>
<sst xmlns="http://schemas.openxmlformats.org/spreadsheetml/2006/main" count="46" uniqueCount="45">
  <si>
    <t>员工编号</t>
  </si>
  <si>
    <t>员工姓名</t>
  </si>
  <si>
    <t>出勤量</t>
  </si>
  <si>
    <t>工作态度</t>
  </si>
  <si>
    <t>工作能力</t>
  </si>
  <si>
    <t>年度总成绩</t>
  </si>
  <si>
    <t>排名</t>
  </si>
  <si>
    <t>奖金</t>
  </si>
  <si>
    <t>排名参照标准</t>
  </si>
  <si>
    <t>DS101</t>
  </si>
  <si>
    <t>丁潜</t>
  </si>
  <si>
    <t>DS102</t>
  </si>
  <si>
    <t>方木</t>
  </si>
  <si>
    <t>DS103</t>
  </si>
  <si>
    <t>乌云</t>
  </si>
  <si>
    <t>DS104</t>
  </si>
  <si>
    <t>蔡明</t>
  </si>
  <si>
    <t>DS105</t>
  </si>
  <si>
    <t>蒋朝阳</t>
  </si>
  <si>
    <t>DS106</t>
  </si>
  <si>
    <t>王磊</t>
  </si>
  <si>
    <t>DS107</t>
  </si>
  <si>
    <t>赵恺</t>
  </si>
  <si>
    <t>DS108</t>
  </si>
  <si>
    <t>孙浩</t>
  </si>
  <si>
    <t>DS109</t>
  </si>
  <si>
    <t>刘招娣</t>
  </si>
  <si>
    <t>DS110</t>
  </si>
  <si>
    <t>薛茜</t>
  </si>
  <si>
    <t>DS111</t>
  </si>
  <si>
    <t>万达海</t>
  </si>
  <si>
    <t>DS112</t>
  </si>
  <si>
    <t>陈铭</t>
  </si>
  <si>
    <t>DS113</t>
  </si>
  <si>
    <t>徐璐璐</t>
  </si>
  <si>
    <t>DS114</t>
  </si>
  <si>
    <t>董卿成</t>
  </si>
  <si>
    <t>DS115</t>
  </si>
  <si>
    <t>郭飞</t>
  </si>
  <si>
    <t>DS116</t>
  </si>
  <si>
    <t>刘昊然</t>
  </si>
  <si>
    <t>DS117</t>
  </si>
  <si>
    <t>马鸣</t>
  </si>
  <si>
    <t>DS118</t>
  </si>
  <si>
    <t>孙梅</t>
  </si>
</sst>
</file>

<file path=xl/styles.xml><?xml version="1.0" encoding="utf-8"?>
<styleSheet xmlns="http://schemas.openxmlformats.org/spreadsheetml/2006/main">
  <numFmts count="5">
    <numFmt numFmtId="176" formatCode="&quot;￥&quot;#,##0.00_);[Red]\(&quot;￥&quot;#,##0.00\)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1" fillId="32" borderId="3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workbookViewId="0">
      <selection activeCell="I30" sqref="I30"/>
    </sheetView>
  </sheetViews>
  <sheetFormatPr defaultColWidth="9" defaultRowHeight="16.5"/>
  <cols>
    <col min="1" max="2" width="9" style="1"/>
    <col min="3" max="3" width="9.625" style="1" customWidth="1"/>
    <col min="4" max="4" width="10.7583333333333" style="1" customWidth="1"/>
    <col min="5" max="5" width="10.625" style="1" customWidth="1"/>
    <col min="6" max="6" width="12.125" style="1" customWidth="1"/>
    <col min="7" max="7" width="9" style="1"/>
    <col min="8" max="8" width="13.5" style="1" customWidth="1"/>
    <col min="9" max="10" width="9" style="1"/>
    <col min="11" max="11" width="13.5" style="2" customWidth="1"/>
    <col min="12" max="12" width="9" style="2"/>
    <col min="13" max="16384" width="9" style="1"/>
  </cols>
  <sheetData>
    <row r="1" ht="18.95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K1" s="3" t="s">
        <v>8</v>
      </c>
      <c r="L1" s="3" t="s">
        <v>7</v>
      </c>
    </row>
    <row r="2" ht="18.95" customHeight="1" spans="1:12">
      <c r="A2" s="4" t="s">
        <v>9</v>
      </c>
      <c r="B2" s="4" t="s">
        <v>10</v>
      </c>
      <c r="C2" s="4">
        <v>92</v>
      </c>
      <c r="D2" s="4">
        <v>90.75</v>
      </c>
      <c r="E2" s="4">
        <v>84.25</v>
      </c>
      <c r="F2" s="4">
        <f>C2*20%+D2*30%+E2*50%</f>
        <v>87.75</v>
      </c>
      <c r="G2" s="4">
        <f t="shared" ref="G2:G19" si="0">RANK(F2,$F$2:$F$19)</f>
        <v>18</v>
      </c>
      <c r="H2" s="5">
        <f>LOOKUP(G2,$K$2:$K$5,$L$2:$L$5)</f>
        <v>2000</v>
      </c>
      <c r="K2" s="6">
        <v>1</v>
      </c>
      <c r="L2" s="6">
        <v>8000</v>
      </c>
    </row>
    <row r="3" ht="18.95" customHeight="1" spans="1:12">
      <c r="A3" s="4" t="s">
        <v>11</v>
      </c>
      <c r="B3" s="4" t="s">
        <v>12</v>
      </c>
      <c r="C3" s="4">
        <v>87.75</v>
      </c>
      <c r="D3" s="4">
        <v>94.5</v>
      </c>
      <c r="E3" s="4">
        <v>84.61</v>
      </c>
      <c r="F3" s="4">
        <f t="shared" ref="F3:F19" si="1">C3*20%+D3*30%+E3*50%</f>
        <v>88.205</v>
      </c>
      <c r="G3" s="4">
        <f t="shared" si="0"/>
        <v>15</v>
      </c>
      <c r="H3" s="5">
        <f t="shared" ref="H3:H19" si="2">LOOKUP(G3,$K$2:$K$5,$L$2:$L$5)</f>
        <v>3000</v>
      </c>
      <c r="K3" s="6">
        <v>6</v>
      </c>
      <c r="L3" s="6">
        <v>5000</v>
      </c>
    </row>
    <row r="4" ht="18.95" customHeight="1" spans="1:12">
      <c r="A4" s="4" t="s">
        <v>13</v>
      </c>
      <c r="B4" s="4" t="s">
        <v>14</v>
      </c>
      <c r="C4" s="4">
        <v>91.5</v>
      </c>
      <c r="D4" s="4">
        <v>86.2</v>
      </c>
      <c r="E4" s="4">
        <v>91.25</v>
      </c>
      <c r="F4" s="4">
        <f t="shared" si="1"/>
        <v>89.785</v>
      </c>
      <c r="G4" s="4">
        <f t="shared" si="0"/>
        <v>14</v>
      </c>
      <c r="H4" s="5">
        <f t="shared" si="2"/>
        <v>3000</v>
      </c>
      <c r="K4" s="6">
        <v>11</v>
      </c>
      <c r="L4" s="6">
        <v>3000</v>
      </c>
    </row>
    <row r="5" ht="18.95" customHeight="1" spans="1:12">
      <c r="A5" s="4" t="s">
        <v>15</v>
      </c>
      <c r="B5" s="4" t="s">
        <v>16</v>
      </c>
      <c r="C5" s="4">
        <v>93.5</v>
      </c>
      <c r="D5" s="4">
        <v>95</v>
      </c>
      <c r="E5" s="4">
        <v>93.2</v>
      </c>
      <c r="F5" s="4">
        <f t="shared" si="1"/>
        <v>93.8</v>
      </c>
      <c r="G5" s="4">
        <f t="shared" si="0"/>
        <v>1</v>
      </c>
      <c r="H5" s="5">
        <f t="shared" si="2"/>
        <v>8000</v>
      </c>
      <c r="K5" s="6">
        <v>16</v>
      </c>
      <c r="L5" s="6">
        <v>2000</v>
      </c>
    </row>
    <row r="6" ht="18.95" customHeight="1" spans="1:8">
      <c r="A6" s="4" t="s">
        <v>17</v>
      </c>
      <c r="B6" s="4" t="s">
        <v>18</v>
      </c>
      <c r="C6" s="4">
        <v>90.75</v>
      </c>
      <c r="D6" s="4">
        <v>91.25</v>
      </c>
      <c r="E6" s="4">
        <v>84.75</v>
      </c>
      <c r="F6" s="4">
        <f t="shared" si="1"/>
        <v>87.9</v>
      </c>
      <c r="G6" s="4">
        <f t="shared" si="0"/>
        <v>17</v>
      </c>
      <c r="H6" s="5">
        <f t="shared" si="2"/>
        <v>2000</v>
      </c>
    </row>
    <row r="7" ht="18.95" customHeight="1" spans="1:8">
      <c r="A7" s="4" t="s">
        <v>19</v>
      </c>
      <c r="B7" s="4" t="s">
        <v>20</v>
      </c>
      <c r="C7" s="4">
        <v>94.25</v>
      </c>
      <c r="D7" s="4">
        <v>94.5</v>
      </c>
      <c r="E7" s="4">
        <v>92.25</v>
      </c>
      <c r="F7" s="4">
        <f t="shared" si="1"/>
        <v>93.325</v>
      </c>
      <c r="G7" s="4">
        <f t="shared" si="0"/>
        <v>4</v>
      </c>
      <c r="H7" s="5">
        <f t="shared" si="2"/>
        <v>8000</v>
      </c>
    </row>
    <row r="8" ht="18.95" customHeight="1" spans="1:8">
      <c r="A8" s="4" t="s">
        <v>21</v>
      </c>
      <c r="B8" s="4" t="s">
        <v>22</v>
      </c>
      <c r="C8" s="4">
        <v>89</v>
      </c>
      <c r="D8" s="4">
        <v>92</v>
      </c>
      <c r="E8" s="4">
        <v>89</v>
      </c>
      <c r="F8" s="4">
        <f t="shared" si="1"/>
        <v>89.9</v>
      </c>
      <c r="G8" s="4">
        <f t="shared" si="0"/>
        <v>13</v>
      </c>
      <c r="H8" s="5">
        <f t="shared" si="2"/>
        <v>3000</v>
      </c>
    </row>
    <row r="9" ht="18.95" customHeight="1" spans="1:8">
      <c r="A9" s="4" t="s">
        <v>23</v>
      </c>
      <c r="B9" s="4" t="s">
        <v>24</v>
      </c>
      <c r="C9" s="4">
        <v>88.25</v>
      </c>
      <c r="D9" s="4">
        <v>95</v>
      </c>
      <c r="E9" s="4">
        <v>94</v>
      </c>
      <c r="F9" s="4">
        <f t="shared" si="1"/>
        <v>93.15</v>
      </c>
      <c r="G9" s="4">
        <f t="shared" si="0"/>
        <v>6</v>
      </c>
      <c r="H9" s="5">
        <f t="shared" si="2"/>
        <v>5000</v>
      </c>
    </row>
    <row r="10" ht="18.95" customHeight="1" spans="1:8">
      <c r="A10" s="4" t="s">
        <v>25</v>
      </c>
      <c r="B10" s="4" t="s">
        <v>26</v>
      </c>
      <c r="C10" s="4">
        <v>93.25</v>
      </c>
      <c r="D10" s="4">
        <v>92</v>
      </c>
      <c r="E10" s="4">
        <v>94</v>
      </c>
      <c r="F10" s="4">
        <f t="shared" si="1"/>
        <v>93.25</v>
      </c>
      <c r="G10" s="4">
        <f t="shared" si="0"/>
        <v>5</v>
      </c>
      <c r="H10" s="5">
        <f t="shared" si="2"/>
        <v>8000</v>
      </c>
    </row>
    <row r="11" ht="18.95" customHeight="1" spans="1:8">
      <c r="A11" s="4" t="s">
        <v>27</v>
      </c>
      <c r="B11" s="4" t="s">
        <v>28</v>
      </c>
      <c r="C11" s="4">
        <v>89</v>
      </c>
      <c r="D11" s="4">
        <v>91.5</v>
      </c>
      <c r="E11" s="4">
        <v>93.25</v>
      </c>
      <c r="F11" s="4">
        <f t="shared" si="1"/>
        <v>91.875</v>
      </c>
      <c r="G11" s="4">
        <f t="shared" si="0"/>
        <v>8</v>
      </c>
      <c r="H11" s="5">
        <f t="shared" si="2"/>
        <v>5000</v>
      </c>
    </row>
    <row r="12" ht="18.95" customHeight="1" spans="1:8">
      <c r="A12" s="4" t="s">
        <v>29</v>
      </c>
      <c r="B12" s="4" t="s">
        <v>30</v>
      </c>
      <c r="C12" s="4">
        <v>94.7</v>
      </c>
      <c r="D12" s="4">
        <v>89.5</v>
      </c>
      <c r="E12" s="4">
        <v>91.3</v>
      </c>
      <c r="F12" s="4">
        <f t="shared" si="1"/>
        <v>91.44</v>
      </c>
      <c r="G12" s="4">
        <f t="shared" si="0"/>
        <v>10</v>
      </c>
      <c r="H12" s="5">
        <f t="shared" si="2"/>
        <v>5000</v>
      </c>
    </row>
    <row r="13" ht="18.95" customHeight="1" spans="1:8">
      <c r="A13" s="4" t="s">
        <v>31</v>
      </c>
      <c r="B13" s="4" t="s">
        <v>32</v>
      </c>
      <c r="C13" s="4">
        <v>90.75</v>
      </c>
      <c r="D13" s="4">
        <v>91.5</v>
      </c>
      <c r="E13" s="4">
        <v>93.75</v>
      </c>
      <c r="F13" s="4">
        <f t="shared" si="1"/>
        <v>92.475</v>
      </c>
      <c r="G13" s="4">
        <f t="shared" si="0"/>
        <v>7</v>
      </c>
      <c r="H13" s="5">
        <f t="shared" si="2"/>
        <v>5000</v>
      </c>
    </row>
    <row r="14" ht="18.95" customHeight="1" spans="1:8">
      <c r="A14" s="4" t="s">
        <v>33</v>
      </c>
      <c r="B14" s="4" t="s">
        <v>34</v>
      </c>
      <c r="C14" s="4">
        <v>86.75</v>
      </c>
      <c r="D14" s="4">
        <v>91.75</v>
      </c>
      <c r="E14" s="4">
        <v>86.5</v>
      </c>
      <c r="F14" s="4">
        <f t="shared" si="1"/>
        <v>88.125</v>
      </c>
      <c r="G14" s="4">
        <f t="shared" si="0"/>
        <v>16</v>
      </c>
      <c r="H14" s="5">
        <f t="shared" si="2"/>
        <v>2000</v>
      </c>
    </row>
    <row r="15" ht="18.95" customHeight="1" spans="1:8">
      <c r="A15" s="4" t="s">
        <v>35</v>
      </c>
      <c r="B15" s="4" t="s">
        <v>36</v>
      </c>
      <c r="C15" s="4">
        <v>91.5</v>
      </c>
      <c r="D15" s="4">
        <v>93.5</v>
      </c>
      <c r="E15" s="4">
        <v>88.25</v>
      </c>
      <c r="F15" s="4">
        <f t="shared" si="1"/>
        <v>90.475</v>
      </c>
      <c r="G15" s="4">
        <f t="shared" si="0"/>
        <v>12</v>
      </c>
      <c r="H15" s="5">
        <f t="shared" si="2"/>
        <v>3000</v>
      </c>
    </row>
    <row r="16" ht="18.95" customHeight="1" spans="1:8">
      <c r="A16" s="4" t="s">
        <v>37</v>
      </c>
      <c r="B16" s="4" t="s">
        <v>38</v>
      </c>
      <c r="C16" s="4">
        <v>91.25</v>
      </c>
      <c r="D16" s="4">
        <v>91</v>
      </c>
      <c r="E16" s="4">
        <v>92</v>
      </c>
      <c r="F16" s="4">
        <f t="shared" si="1"/>
        <v>91.55</v>
      </c>
      <c r="G16" s="4">
        <f t="shared" si="0"/>
        <v>9</v>
      </c>
      <c r="H16" s="5">
        <f t="shared" si="2"/>
        <v>5000</v>
      </c>
    </row>
    <row r="17" ht="18.95" customHeight="1" spans="1:8">
      <c r="A17" s="4" t="s">
        <v>39</v>
      </c>
      <c r="B17" s="4" t="s">
        <v>40</v>
      </c>
      <c r="C17" s="4">
        <v>93.1</v>
      </c>
      <c r="D17" s="4">
        <v>90.75</v>
      </c>
      <c r="E17" s="4">
        <v>89.75</v>
      </c>
      <c r="F17" s="4">
        <f t="shared" si="1"/>
        <v>90.72</v>
      </c>
      <c r="G17" s="4">
        <f t="shared" si="0"/>
        <v>11</v>
      </c>
      <c r="H17" s="5">
        <f t="shared" si="2"/>
        <v>3000</v>
      </c>
    </row>
    <row r="18" ht="18.95" customHeight="1" spans="1:8">
      <c r="A18" s="4" t="s">
        <v>41</v>
      </c>
      <c r="B18" s="4" t="s">
        <v>42</v>
      </c>
      <c r="C18" s="4">
        <v>93.75</v>
      </c>
      <c r="D18" s="4">
        <v>93</v>
      </c>
      <c r="E18" s="4">
        <v>93.75</v>
      </c>
      <c r="F18" s="4">
        <f t="shared" si="1"/>
        <v>93.525</v>
      </c>
      <c r="G18" s="4">
        <f t="shared" si="0"/>
        <v>3</v>
      </c>
      <c r="H18" s="5">
        <f t="shared" si="2"/>
        <v>8000</v>
      </c>
    </row>
    <row r="19" ht="18.95" customHeight="1" spans="1:8">
      <c r="A19" s="4" t="s">
        <v>43</v>
      </c>
      <c r="B19" s="4" t="s">
        <v>44</v>
      </c>
      <c r="C19" s="4">
        <v>94.25</v>
      </c>
      <c r="D19" s="4">
        <v>94.25</v>
      </c>
      <c r="E19" s="4">
        <v>93</v>
      </c>
      <c r="F19" s="4">
        <f t="shared" si="1"/>
        <v>93.625</v>
      </c>
      <c r="G19" s="4">
        <f t="shared" si="0"/>
        <v>2</v>
      </c>
      <c r="H19" s="5">
        <f t="shared" si="2"/>
        <v>8000</v>
      </c>
    </row>
  </sheetData>
  <conditionalFormatting sqref="F2:F19">
    <cfRule type="top10" dxfId="0" priority="1" rank="5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2020-07-22T07:41:00Z</dcterms:created>
  <dcterms:modified xsi:type="dcterms:W3CDTF">2026-08-26T09:09:00Z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59B358B47FEE4F2796743FCB1C239852</vt:lpwstr>
  </property>
</Properties>
</file>