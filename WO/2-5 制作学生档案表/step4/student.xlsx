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xmlns:r="http://schemas.openxmlformats.org/officeDocument/2006/relationships" name="学生档案表" sheetId="1" state="visible" r:id="rId1"/>
    <sheet xmlns:r="http://schemas.openxmlformats.org/officeDocument/2006/relationships" name="学生信息采集表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2">
    <numFmt formatCode="yyyy&quot;年&quot;m&quot;月&quot;;@" numFmtId="164"/>
    <numFmt formatCode="yyyy&quot;年&quot;m&quot;月&quot;d&quot;日&quot;;@" numFmtId="165"/>
  </numFmts>
  <fonts count="9">
    <font>
      <name val="等线"/>
      <charset val="134"/>
      <color theme="1"/>
      <sz val="11"/>
      <scheme val="minor"/>
    </font>
    <font>
      <name val="等线"/>
      <charset val="134"/>
      <b val="1"/>
      <color theme="1"/>
      <sz val="20"/>
      <scheme val="minor"/>
    </font>
    <font>
      <name val="宋体"/>
      <charset val="134"/>
      <color theme="1"/>
      <sz val="14"/>
    </font>
    <font>
      <name val="宋体"/>
      <charset val="134"/>
      <b val="1"/>
      <color theme="1"/>
      <sz val="12"/>
    </font>
    <font>
      <name val="微软雅黑"/>
      <charset val="134"/>
      <color rgb="FF333333"/>
      <sz val="12"/>
    </font>
    <font>
      <name val="等线"/>
      <charset val="134"/>
      <color theme="1"/>
      <sz val="10"/>
      <scheme val="minor"/>
    </font>
    <font>
      <name val="宋体"/>
      <charset val="134"/>
      <color theme="1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applyAlignment="1" borderId="1" fillId="0" fontId="2" numFmtId="0" pivotButton="0" quotePrefix="0" xfId="0">
      <alignment horizontal="center"/>
    </xf>
    <xf applyAlignment="1" borderId="2" fillId="0" fontId="2" numFmtId="49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3" fillId="0" fontId="2" numFmtId="49" pivotButton="0" quotePrefix="0" xfId="0">
      <alignment horizontal="center"/>
    </xf>
    <xf applyAlignment="1" borderId="4" fillId="0" fontId="2" numFmtId="0" pivotButton="0" quotePrefix="0" xfId="0">
      <alignment horizontal="center"/>
    </xf>
    <xf applyAlignment="1" borderId="0" fillId="0" fontId="2" numFmtId="49" pivotButton="0" quotePrefix="0" xfId="0">
      <alignment horizontal="center"/>
    </xf>
    <xf applyAlignment="1" borderId="0" fillId="0" fontId="2" numFmtId="0" pivotButton="0" quotePrefix="0" xfId="0">
      <alignment horizontal="center" wrapText="1"/>
    </xf>
    <xf applyAlignment="1" borderId="5" fillId="0" fontId="2" numFmtId="49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5" fillId="0" fontId="2" numFmtId="164" pivotButton="0" quotePrefix="0" xfId="0">
      <alignment horizontal="center"/>
    </xf>
    <xf applyAlignment="1" borderId="6" fillId="0" fontId="2" numFmtId="0" pivotButton="0" quotePrefix="0" xfId="0">
      <alignment horizontal="center" wrapText="1"/>
    </xf>
    <xf applyAlignment="1" borderId="1" fillId="0" fontId="3" numFmtId="0" pivotButton="0" quotePrefix="0" xfId="0">
      <alignment horizontal="center" vertical="center"/>
    </xf>
    <xf applyAlignment="1" borderId="2" fillId="0" fontId="3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borderId="0" fillId="0" fontId="4" numFmtId="0" pivotButton="0" quotePrefix="0" xfId="0"/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borderId="0" fillId="0" fontId="5" numFmtId="14" pivotButton="0" quotePrefix="0" xfId="0"/>
    <xf applyAlignment="1" borderId="3" fillId="0" fontId="3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7" fillId="0" fontId="2" numFmtId="49" pivotButton="0" quotePrefix="0" xfId="0">
      <alignment horizontal="center"/>
    </xf>
    <xf applyAlignment="1" borderId="8" fillId="0" fontId="2" numFmtId="49" pivotButton="0" quotePrefix="0" xfId="0">
      <alignment horizontal="center"/>
    </xf>
    <xf borderId="0" fillId="0" fontId="0" numFmtId="49" pivotButton="0" quotePrefix="0" xfId="0"/>
    <xf applyAlignment="1" borderId="0" fillId="0" fontId="0" numFmtId="164" pivotButton="0" quotePrefix="0" xfId="0">
      <alignment horizontal="center" vertical="center"/>
    </xf>
    <xf applyAlignment="1" borderId="7" fillId="0" fontId="0" numFmtId="164" pivotButton="0" quotePrefix="0" xfId="0">
      <alignment horizontal="center" vertical="center"/>
    </xf>
    <xf borderId="0" fillId="0" fontId="0" numFmtId="164" pivotButton="0" quotePrefix="0" xfId="0"/>
    <xf borderId="0" fillId="0" fontId="8" numFmtId="49" pivotButton="0" quotePrefix="0" xfId="0"/>
    <xf applyAlignment="1" borderId="0" fillId="0" fontId="8" numFmtId="0" pivotButton="0" quotePrefix="1" xfId="0">
      <alignment horizontal="center" vertical="center"/>
    </xf>
    <xf applyAlignment="1" borderId="0" fillId="0" fontId="0" numFmtId="165" pivotButton="0" quotePrefix="0" xfId="0">
      <alignment horizontal="center" vertical="center" wrapText="1"/>
    </xf>
    <xf applyAlignment="1" borderId="0" fillId="0" fontId="0" numFmtId="165" pivotButton="0" quotePrefix="0" xfId="0">
      <alignment horizontal="center" vertical="center"/>
    </xf>
    <xf applyAlignment="1" borderId="7" fillId="0" fontId="0" numFmtId="165" pivotButton="0" quotePrefix="0" xfId="0">
      <alignment horizontal="center" vertical="center"/>
    </xf>
    <xf borderId="0" fillId="0" fontId="0" numFmtId="164" pivotButton="0" quotePrefix="0" xfId="0"/>
    <xf applyAlignment="1" borderId="0" fillId="0" fontId="0" numFmtId="165" pivotButton="0" quotePrefix="0" xfId="0">
      <alignment horizontal="center" vertical="center" wrapText="1"/>
    </xf>
    <xf applyAlignment="1" borderId="0" fillId="0" fontId="0" numFmtId="164" pivotButton="0" quotePrefix="0" xfId="0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7" fillId="0" fontId="0" numFmtId="165" pivotButton="0" quotePrefix="0" xfId="0">
      <alignment horizontal="center" vertical="center"/>
    </xf>
    <xf applyAlignment="1" borderId="7" fillId="0" fontId="0" numFmtId="164" pivotButton="0" quotePrefix="0" xfId="0">
      <alignment horizontal="center" vertical="center"/>
    </xf>
    <xf applyAlignment="1" borderId="5" fillId="0" fontId="2" numFmtId="164" pivotButton="0" quotePrefix="0" xfId="0">
      <alignment horizontal="center"/>
    </xf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H10" sqref="H10"/>
    </sheetView>
  </sheetViews>
  <sheetFormatPr baseColWidth="8" defaultColWidth="9" defaultRowHeight="14.25"/>
  <cols>
    <col bestFit="1" customWidth="1" max="7" min="7" width="13.5"/>
    <col bestFit="1" customWidth="1" max="8" min="8" width="13"/>
    <col customWidth="1" max="10" min="10" width="10.125"/>
  </cols>
  <sheetData>
    <row customHeight="1" ht="25.5" r="1">
      <c r="A1" s="23" t="inlineStr">
        <is>
          <t>学生档案表</t>
        </is>
      </c>
    </row>
    <row r="2">
      <c r="B2" t="inlineStr">
        <is>
          <t>教务处监制</t>
        </is>
      </c>
      <c r="J2" t="inlineStr">
        <is>
          <t>制表日期</t>
        </is>
      </c>
      <c r="K2" s="19" t="inlineStr">
        <is>
          <t>2015年3月1号</t>
        </is>
      </c>
    </row>
    <row hidden="1" r="3">
      <c r="B3" s="27">
        <f>学生信息采集表!C2</f>
        <v/>
      </c>
      <c r="C3" s="27">
        <f>学生信息采集表!E2</f>
        <v/>
      </c>
      <c r="F3" s="27">
        <f>学生信息采集表!C3</f>
        <v/>
      </c>
      <c r="H3" s="31">
        <f>学生信息采集表!E3</f>
        <v/>
      </c>
      <c r="J3" s="36">
        <f>学生信息采集表!E4</f>
        <v/>
      </c>
      <c r="K3" s="19" t="n"/>
    </row>
    <row r="4">
      <c r="A4" s="12" t="inlineStr">
        <is>
          <t>序号</t>
        </is>
      </c>
      <c r="B4" s="13" t="inlineStr">
        <is>
          <t>学号</t>
        </is>
      </c>
      <c r="C4" s="13" t="inlineStr">
        <is>
          <t>姓名</t>
        </is>
      </c>
      <c r="D4" s="13" t="inlineStr">
        <is>
          <t>性别</t>
        </is>
      </c>
      <c r="E4" s="13" t="inlineStr">
        <is>
          <t>年龄</t>
        </is>
      </c>
      <c r="F4" s="13" t="inlineStr">
        <is>
          <t>所属系部</t>
        </is>
      </c>
      <c r="G4" s="13" t="inlineStr">
        <is>
          <t>出生年月</t>
        </is>
      </c>
      <c r="H4" s="13" t="inlineStr">
        <is>
          <t>身份证号码</t>
        </is>
      </c>
      <c r="I4" s="13" t="inlineStr">
        <is>
          <t>联系方式</t>
        </is>
      </c>
      <c r="J4" s="13" t="inlineStr">
        <is>
          <t>入学时间</t>
        </is>
      </c>
      <c r="K4" s="13" t="inlineStr">
        <is>
          <t>年级</t>
        </is>
      </c>
      <c r="L4" s="20" t="inlineStr">
        <is>
          <t>备注</t>
        </is>
      </c>
    </row>
    <row r="5">
      <c r="A5" s="14" t="n"/>
      <c r="B5" s="15" t="n"/>
      <c r="C5" s="15" t="n"/>
      <c r="D5" s="15">
        <f>IF(MOD(MID(H5,17,1),2)=1,"男","女")</f>
        <v/>
      </c>
      <c r="E5" s="15">
        <f>YEAR(TODAY())-MID(G5,1,4)</f>
        <v/>
      </c>
      <c r="F5" s="15" t="n"/>
      <c r="G5" s="37">
        <f>MID(H5,7,8)</f>
        <v/>
      </c>
      <c r="H5" s="32" t="inlineStr">
        <is>
          <t>220182199810291930</t>
        </is>
      </c>
      <c r="I5" s="15" t="n"/>
      <c r="J5" s="38" t="n"/>
      <c r="K5" s="15" t="n"/>
      <c r="L5" s="21" t="n"/>
    </row>
    <row r="6">
      <c r="A6" s="14" t="n"/>
      <c r="B6" s="15" t="n"/>
      <c r="C6" s="15" t="n"/>
      <c r="D6" s="15" t="n"/>
      <c r="E6" s="15" t="n"/>
      <c r="F6" s="15" t="n"/>
      <c r="G6" s="39" t="n"/>
      <c r="H6" s="15" t="n"/>
      <c r="I6" s="15" t="n"/>
      <c r="J6" s="38" t="n"/>
      <c r="K6" s="15" t="n"/>
      <c r="L6" s="21" t="n"/>
    </row>
    <row r="7">
      <c r="A7" s="14" t="n"/>
      <c r="B7" s="15" t="n"/>
      <c r="C7" s="15" t="n"/>
      <c r="D7" s="15" t="n"/>
      <c r="E7" s="15" t="n"/>
      <c r="F7" s="15" t="n"/>
      <c r="G7" s="39" t="n"/>
      <c r="H7" s="15" t="n"/>
      <c r="I7" s="15" t="n"/>
      <c r="J7" s="38" t="n"/>
      <c r="K7" s="15" t="n"/>
      <c r="L7" s="21" t="n"/>
    </row>
    <row r="8">
      <c r="A8" s="14" t="n"/>
      <c r="B8" s="15" t="n"/>
      <c r="C8" s="15" t="n"/>
      <c r="D8" s="15" t="n"/>
      <c r="E8" s="15" t="n"/>
      <c r="F8" s="15" t="n"/>
      <c r="G8" s="39" t="n"/>
      <c r="H8" s="15" t="n"/>
      <c r="I8" s="15" t="n"/>
      <c r="J8" s="38" t="n"/>
      <c r="K8" s="15" t="n"/>
      <c r="L8" s="21" t="n"/>
    </row>
    <row r="9">
      <c r="A9" s="14" t="n"/>
      <c r="B9" s="15" t="n"/>
      <c r="C9" s="15" t="n"/>
      <c r="D9" s="15" t="n"/>
      <c r="E9" s="15" t="n"/>
      <c r="F9" s="15" t="n"/>
      <c r="G9" s="39" t="n"/>
      <c r="H9" s="15" t="n"/>
      <c r="I9" s="15" t="n"/>
      <c r="J9" s="38" t="n"/>
      <c r="K9" s="15" t="n"/>
      <c r="L9" s="21" t="n"/>
    </row>
    <row r="10">
      <c r="A10" s="14" t="n"/>
      <c r="B10" s="15" t="n"/>
      <c r="C10" s="15" t="n"/>
      <c r="D10" s="15" t="n"/>
      <c r="E10" s="15" t="n"/>
      <c r="F10" s="15" t="n"/>
      <c r="G10" s="39" t="n"/>
      <c r="H10" s="15" t="n"/>
      <c r="I10" s="15" t="n"/>
      <c r="J10" s="38" t="n"/>
      <c r="K10" s="15" t="n"/>
      <c r="L10" s="21" t="n"/>
    </row>
    <row customHeight="1" ht="17.25" r="11">
      <c r="A11" s="14" t="n"/>
      <c r="B11" s="15" t="n"/>
      <c r="C11" s="15" t="n"/>
      <c r="D11" s="15" t="n"/>
      <c r="E11" s="15" t="n"/>
      <c r="F11" s="16" t="n"/>
      <c r="G11" s="39" t="n"/>
      <c r="H11" s="15" t="n"/>
      <c r="I11" s="15" t="n"/>
      <c r="J11" s="38" t="n"/>
      <c r="K11" s="15" t="n"/>
      <c r="L11" s="21" t="n"/>
    </row>
    <row r="12">
      <c r="A12" s="14" t="n"/>
      <c r="B12" s="15" t="n"/>
      <c r="C12" s="15" t="n"/>
      <c r="D12" s="15" t="n"/>
      <c r="E12" s="15" t="n"/>
      <c r="F12" s="15" t="n"/>
      <c r="G12" s="39" t="n"/>
      <c r="H12" s="15" t="n"/>
      <c r="I12" s="15" t="n"/>
      <c r="J12" s="38" t="n"/>
      <c r="K12" s="15" t="n"/>
      <c r="L12" s="21" t="n"/>
    </row>
    <row r="13">
      <c r="A13" s="14" t="n"/>
      <c r="B13" s="15" t="n"/>
      <c r="C13" s="15" t="n"/>
      <c r="D13" s="15" t="n"/>
      <c r="E13" s="15" t="n"/>
      <c r="F13" s="15" t="n"/>
      <c r="G13" s="39" t="n"/>
      <c r="H13" s="15" t="n"/>
      <c r="I13" s="15" t="n"/>
      <c r="J13" s="38" t="n"/>
      <c r="K13" s="15" t="n"/>
      <c r="L13" s="21" t="n"/>
    </row>
    <row r="14">
      <c r="A14" s="14" t="n"/>
      <c r="B14" s="15" t="n"/>
      <c r="C14" s="15" t="n"/>
      <c r="D14" s="15" t="n"/>
      <c r="E14" s="15" t="n"/>
      <c r="F14" s="15" t="n"/>
      <c r="G14" s="39" t="n"/>
      <c r="H14" s="15" t="n"/>
      <c r="I14" s="15" t="n"/>
      <c r="J14" s="38" t="n"/>
      <c r="K14" s="15" t="n"/>
      <c r="L14" s="21" t="n"/>
    </row>
    <row r="15">
      <c r="A15" s="14" t="n"/>
      <c r="B15" s="15" t="n"/>
      <c r="C15" s="15" t="n"/>
      <c r="D15" s="15" t="n"/>
      <c r="E15" s="15" t="n"/>
      <c r="F15" s="15" t="n"/>
      <c r="G15" s="39" t="n"/>
      <c r="H15" s="15" t="n"/>
      <c r="I15" s="15" t="n"/>
      <c r="J15" s="38" t="n"/>
      <c r="K15" s="15" t="n"/>
      <c r="L15" s="21" t="n"/>
    </row>
    <row r="16">
      <c r="A16" s="17" t="n"/>
      <c r="B16" s="18" t="n"/>
      <c r="C16" s="18" t="n"/>
      <c r="D16" s="18" t="n"/>
      <c r="E16" s="18" t="n"/>
      <c r="F16" s="18" t="n"/>
      <c r="G16" s="40" t="n"/>
      <c r="H16" s="18" t="n"/>
      <c r="I16" s="18" t="n"/>
      <c r="J16" s="41" t="n"/>
      <c r="K16" s="18" t="n"/>
      <c r="L16" s="22" t="n"/>
    </row>
  </sheetData>
  <mergeCells count="1">
    <mergeCell ref="A1:L1"/>
  </mergeCells>
  <dataValidations count="2">
    <dataValidation allowBlank="0" showErrorMessage="1" showInputMessage="1" sqref="F6:F16" type="list">
      <formula1>"计算机工程系，电子信息系，电气自动化系，建筑工程系，建筑材料系"</formula1>
    </dataValidation>
    <dataValidation allowBlank="0" showErrorMessage="1" showInputMessage="1" sqref="F5" type="list">
      <formula1>"计算机工程系,电子信息系,电气自动化系,建筑工程系,建筑材料系"</formula1>
    </dataValidation>
  </dataValidations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5"/>
  <sheetViews>
    <sheetView workbookViewId="0">
      <selection activeCell="E3" sqref="E3"/>
    </sheetView>
  </sheetViews>
  <sheetFormatPr baseColWidth="8" defaultColWidth="9" defaultRowHeight="14.25"/>
  <cols>
    <col customWidth="1" max="2" min="2" width="15.625"/>
    <col customWidth="1" max="4" min="4" width="15.625"/>
    <col customWidth="1" max="5" min="5" width="13.125"/>
  </cols>
  <sheetData>
    <row customHeight="1" ht="25.5" r="1">
      <c r="B1" s="23" t="inlineStr">
        <is>
          <t>学生信息采集表</t>
        </is>
      </c>
    </row>
    <row customHeight="1" ht="18.75" r="2">
      <c r="B2" s="1" t="inlineStr">
        <is>
          <t>学号</t>
        </is>
      </c>
      <c r="C2" s="2" t="inlineStr">
        <is>
          <t>0012345</t>
        </is>
      </c>
      <c r="D2" s="3" t="inlineStr">
        <is>
          <t>姓名</t>
        </is>
      </c>
      <c r="E2" s="4" t="inlineStr">
        <is>
          <t>张三</t>
        </is>
      </c>
    </row>
    <row customHeight="1" ht="32.25" r="3">
      <c r="B3" s="5" t="inlineStr">
        <is>
          <t>所属系部</t>
        </is>
      </c>
      <c r="C3" s="6" t="inlineStr">
        <is>
          <t>机械系</t>
        </is>
      </c>
      <c r="D3" s="7" t="inlineStr">
        <is>
          <t>身份证号码（请核实无误）</t>
        </is>
      </c>
      <c r="E3" s="8" t="inlineStr">
        <is>
          <t>432503</t>
        </is>
      </c>
    </row>
    <row customHeight="1" ht="18.75" r="4">
      <c r="B4" s="5" t="inlineStr">
        <is>
          <t>联系方式</t>
        </is>
      </c>
      <c r="C4" s="6" t="inlineStr">
        <is>
          <t>1880000</t>
        </is>
      </c>
      <c r="D4" s="9" t="inlineStr">
        <is>
          <t>入学时间</t>
        </is>
      </c>
      <c r="E4" s="42" t="n">
        <v>43968</v>
      </c>
    </row>
    <row customHeight="1" ht="32.25" r="5">
      <c r="B5" s="11" t="inlineStr">
        <is>
          <t>备注
（特殊情况请注明）</t>
        </is>
      </c>
      <c r="C5" s="26" t="n"/>
      <c r="D5" s="43" t="n"/>
      <c r="E5" s="44" t="n"/>
    </row>
  </sheetData>
  <mergeCells count="2">
    <mergeCell ref="B1:E1"/>
    <mergeCell ref="C5:E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yy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2021-04-06T02:20:01Z</dcterms:modified>
  <cp:lastModifiedBy>li</cp:lastModifiedBy>
</cp:coreProperties>
</file>