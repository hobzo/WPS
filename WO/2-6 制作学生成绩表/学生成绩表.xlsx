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comments+xml" PartName="/xl/comments/commen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420"/>
  </bookViews>
  <sheets>
    <sheet xmlns:r="http://schemas.openxmlformats.org/officeDocument/2006/relationships" name="学生成绩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Malgun Gothic"/>
      <charset val="129"/>
      <color rgb="FF333333"/>
      <sz val="12"/>
    </font>
    <font>
      <name val="等线"/>
      <charset val="0"/>
      <color theme="1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FF00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b val="1"/>
      <color rgb="FF3F3F3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32" fontId="4" numFmtId="0">
      <alignment vertical="center"/>
    </xf>
    <xf applyAlignment="1" borderId="0" fillId="3" fontId="3" numFmtId="0">
      <alignment vertical="center"/>
    </xf>
    <xf applyAlignment="1" borderId="0" fillId="12" fontId="4" numFmtId="0">
      <alignment vertical="center"/>
    </xf>
    <xf applyAlignment="1" borderId="7" fillId="18" fontId="19" numFmtId="0">
      <alignment vertical="center"/>
    </xf>
    <xf applyAlignment="1" borderId="0" fillId="28" fontId="3" numFmtId="0">
      <alignment vertical="center"/>
    </xf>
    <xf applyAlignment="1" borderId="0" fillId="30" fontId="3" numFmtId="0">
      <alignment vertical="center"/>
    </xf>
    <xf applyAlignment="1" borderId="0" fillId="0" fontId="1" numFmtId="44">
      <alignment vertical="center"/>
    </xf>
    <xf applyAlignment="1" borderId="0" fillId="15" fontId="4" numFmtId="0">
      <alignment vertical="center"/>
    </xf>
    <xf applyAlignment="1" borderId="0" fillId="0" fontId="1" numFmtId="9">
      <alignment vertical="center"/>
    </xf>
    <xf applyAlignment="1" borderId="0" fillId="19" fontId="4" numFmtId="0">
      <alignment vertical="center"/>
    </xf>
    <xf applyAlignment="1" borderId="0" fillId="16" fontId="4" numFmtId="0">
      <alignment vertical="center"/>
    </xf>
    <xf applyAlignment="1" borderId="0" fillId="26" fontId="4" numFmtId="0">
      <alignment vertical="center"/>
    </xf>
    <xf applyAlignment="1" borderId="0" fillId="23" fontId="4" numFmtId="0">
      <alignment vertical="center"/>
    </xf>
    <xf applyAlignment="1" borderId="0" fillId="31" fontId="4" numFmtId="0">
      <alignment vertical="center"/>
    </xf>
    <xf applyAlignment="1" borderId="7" fillId="11" fontId="17" numFmtId="0">
      <alignment vertical="center"/>
    </xf>
    <xf applyAlignment="1" borderId="0" fillId="14" fontId="4" numFmtId="0">
      <alignment vertical="center"/>
    </xf>
    <xf applyAlignment="1" borderId="0" fillId="13" fontId="18" numFmtId="0">
      <alignment vertical="center"/>
    </xf>
    <xf applyAlignment="1" borderId="0" fillId="25" fontId="3" numFmtId="0">
      <alignment vertical="center"/>
    </xf>
    <xf applyAlignment="1" borderId="0" fillId="20" fontId="20" numFmtId="0">
      <alignment vertical="center"/>
    </xf>
    <xf applyAlignment="1" borderId="0" fillId="24" fontId="3" numFmtId="0">
      <alignment vertical="center"/>
    </xf>
    <xf applyAlignment="1" borderId="9" fillId="0" fontId="21" numFmtId="0">
      <alignment vertical="center"/>
    </xf>
    <xf applyAlignment="1" borderId="0" fillId="8" fontId="11" numFmtId="0">
      <alignment vertical="center"/>
    </xf>
    <xf applyAlignment="1" borderId="4" fillId="6" fontId="9" numFmtId="0">
      <alignment vertical="center"/>
    </xf>
    <xf applyAlignment="1" borderId="6" fillId="11" fontId="15" numFmtId="0">
      <alignment vertical="center"/>
    </xf>
    <xf applyAlignment="1" borderId="3" fillId="0" fontId="16" numFmtId="0">
      <alignment vertical="center"/>
    </xf>
    <xf applyAlignment="1" borderId="0" fillId="0" fontId="13" numFmtId="0">
      <alignment vertical="center"/>
    </xf>
    <xf applyAlignment="1" borderId="0" fillId="10" fontId="3" numFmtId="0">
      <alignment vertical="center"/>
    </xf>
    <xf applyAlignment="1" borderId="0" fillId="0" fontId="6" numFmtId="0">
      <alignment vertical="center"/>
    </xf>
    <xf applyAlignment="1" borderId="0" fillId="0" fontId="1" numFmtId="42">
      <alignment vertical="center"/>
    </xf>
    <xf applyAlignment="1" borderId="0" fillId="22" fontId="3" numFmtId="0">
      <alignment vertical="center"/>
    </xf>
    <xf applyAlignment="1" borderId="0" fillId="0" fontId="1" numFmtId="43">
      <alignment vertical="center"/>
    </xf>
    <xf applyAlignment="1" borderId="0" fillId="0" fontId="14" numFmtId="0">
      <alignment vertical="center"/>
    </xf>
    <xf applyAlignment="1" borderId="0" fillId="0" fontId="7" numFmtId="0">
      <alignment vertical="center"/>
    </xf>
    <xf applyAlignment="1" borderId="0" fillId="9" fontId="3" numFmtId="0">
      <alignment vertical="center"/>
    </xf>
    <xf applyAlignment="1" borderId="0" fillId="0" fontId="12" numFmtId="0">
      <alignment vertical="center"/>
    </xf>
    <xf applyAlignment="1" borderId="0" fillId="27" fontId="4" numFmtId="0">
      <alignment vertical="center"/>
    </xf>
    <xf applyAlignment="1" borderId="8" fillId="29" fontId="1" numFmtId="0">
      <alignment vertical="center"/>
    </xf>
    <xf applyAlignment="1" borderId="0" fillId="21" fontId="3" numFmtId="0">
      <alignment vertical="center"/>
    </xf>
    <xf applyAlignment="1" borderId="0" fillId="7" fontId="4" numFmtId="0">
      <alignment vertical="center"/>
    </xf>
    <xf applyAlignment="1" borderId="0" fillId="17" fontId="3" numFmtId="0">
      <alignment vertical="center"/>
    </xf>
    <xf applyAlignment="1" borderId="0" fillId="0" fontId="5" numFmtId="0">
      <alignment vertical="center"/>
    </xf>
    <xf applyAlignment="1" borderId="0" fillId="0" fontId="1" numFmtId="41">
      <alignment vertical="center"/>
    </xf>
    <xf applyAlignment="1" borderId="3" fillId="0" fontId="8" numFmtId="0">
      <alignment vertical="center"/>
    </xf>
    <xf applyAlignment="1" borderId="0" fillId="5" fontId="3" numFmtId="0">
      <alignment vertical="center"/>
    </xf>
    <xf applyAlignment="1" borderId="2" fillId="0" fontId="6" numFmtId="0">
      <alignment vertical="center"/>
    </xf>
    <xf applyAlignment="1" borderId="0" fillId="4" fontId="4" numFmtId="0">
      <alignment vertical="center"/>
    </xf>
    <xf applyAlignment="1" borderId="0" fillId="2" fontId="3" numFmtId="0">
      <alignment vertical="center"/>
    </xf>
    <xf applyAlignment="1" borderId="5" fillId="0" fontId="10" numFmtId="0">
      <alignment vertical="center"/>
    </xf>
  </cellStyleXfs>
  <cellXfs count="5">
    <xf borderId="0" fillId="0" fontId="0" numFmtId="0" pivotButton="0" quotePrefix="0" xfId="0"/>
    <xf borderId="0" fillId="0" fontId="1" numFmtId="0" pivotButton="0" quotePrefix="0" xfId="0"/>
    <xf borderId="0" fillId="0" fontId="2" numFmtId="9" pivotButton="0" quotePrefix="0" xfId="0"/>
    <xf borderId="1" fillId="0" fontId="0" numFmtId="0" pivotButton="0" quotePrefix="0" xfId="0"/>
    <xf borderId="1" fillId="0" fontId="0" numFmtId="0" pivotButton="0" quotePrefix="1" xfId="0"/>
  </cellXfs>
  <cellStyles count="49">
    <cellStyle builtinId="0" name="常规" xfId="0"/>
    <cellStyle builtinId="52" name="60% - 强调文字颜色 6" xfId="1"/>
    <cellStyle builtinId="42" name="20% - 强调文字颜色 4" xfId="2"/>
    <cellStyle builtinId="41" name="强调文字颜色 4" xfId="3"/>
    <cellStyle builtinId="20" name="输入" xfId="4"/>
    <cellStyle builtinId="39" name="40% - 强调文字颜色 3" xfId="5"/>
    <cellStyle builtinId="38" name="20% - 强调文字颜色 3" xfId="6"/>
    <cellStyle builtinId="4" name="货币" xfId="7"/>
    <cellStyle builtinId="37" name="强调文字颜色 3" xfId="8"/>
    <cellStyle builtinId="5" name="百分比" xfId="9"/>
    <cellStyle builtinId="36" name="60% - 强调文字颜色 2" xfId="10"/>
    <cellStyle builtinId="48" name="60% - 强调文字颜色 5" xfId="11"/>
    <cellStyle builtinId="33" name="强调文字颜色 2" xfId="12"/>
    <cellStyle builtinId="32" name="60% - 强调文字颜色 1" xfId="13"/>
    <cellStyle builtinId="44" name="60% - 强调文字颜色 4" xfId="14"/>
    <cellStyle builtinId="22" name="计算" xfId="15"/>
    <cellStyle builtinId="29" name="强调文字颜色 1" xfId="16"/>
    <cellStyle builtinId="28" name="适中" xfId="17"/>
    <cellStyle builtinId="46" name="20% - 强调文字颜色 5" xfId="18"/>
    <cellStyle builtinId="26" name="好" xfId="19"/>
    <cellStyle builtinId="30" name="20% - 强调文字颜色 1" xfId="20"/>
    <cellStyle builtinId="25" name="汇总" xfId="21"/>
    <cellStyle builtinId="27" name="差" xfId="22"/>
    <cellStyle builtinId="23" name="检查单元格" xfId="23"/>
    <cellStyle builtinId="21" name="输出" xfId="24"/>
    <cellStyle builtinId="16" name="标题 1" xfId="25"/>
    <cellStyle builtinId="53" name="解释性文本" xfId="26"/>
    <cellStyle builtinId="34" name="20% - 强调文字颜色 2" xfId="27"/>
    <cellStyle builtinId="19" name="标题 4" xfId="28"/>
    <cellStyle builtinId="7" name="货币[0]" xfId="29"/>
    <cellStyle builtinId="43" name="40% - 强调文字颜色 4" xfId="30"/>
    <cellStyle builtinId="3" name="千位分隔" xfId="31"/>
    <cellStyle builtinId="9" name="已访问的超链接" xfId="32"/>
    <cellStyle builtinId="15" name="标题" xfId="33"/>
    <cellStyle builtinId="35" name="40% - 强调文字颜色 2" xfId="34"/>
    <cellStyle builtinId="11" name="警告文本" xfId="35"/>
    <cellStyle builtinId="40" name="60% - 强调文字颜色 3" xfId="36"/>
    <cellStyle builtinId="10" name="注释" xfId="37"/>
    <cellStyle builtinId="50" name="20% - 强调文字颜色 6" xfId="38"/>
    <cellStyle builtinId="45" name="强调文字颜色 5" xfId="39"/>
    <cellStyle builtinId="51" name="40% - 强调文字颜色 6" xfId="40"/>
    <cellStyle builtinId="8" name="超链接" xfId="41"/>
    <cellStyle builtinId="6" name="千位分隔[0]" xfId="42"/>
    <cellStyle builtinId="17" name="标题 2" xfId="43"/>
    <cellStyle builtinId="47" name="40% - 强调文字颜色 5" xfId="44"/>
    <cellStyle builtinId="18" name="标题 3" xfId="45"/>
    <cellStyle builtinId="49" name="强调文字颜色 6" xfId="46"/>
    <cellStyle builtinId="31" name="40% - 强调文字颜色 1" xfId="47"/>
    <cellStyle builtinId="24" name="链接单元格" xfId="48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li</author>
  </authors>
  <commentList>
    <comment authorId="0" ref="D2" shapeId="0">
      <text>
        <t>li:
输入平时成绩的比例，比如 40%</t>
      </text>
    </comment>
    <comment authorId="0" ref="F2" shapeId="0">
      <text>
        <t>li:
输入期末成绩的比例，比如 60%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B1:I53"/>
  <sheetViews>
    <sheetView tabSelected="1" workbookViewId="0">
      <selection activeCell="M7" sqref="M7"/>
    </sheetView>
  </sheetViews>
  <sheetFormatPr baseColWidth="8" defaultColWidth="9" defaultRowHeight="13.95" outlineLevelRow="5"/>
  <cols>
    <col customWidth="1" max="8" min="8" width="9.6218487394958"/>
  </cols>
  <sheetData>
    <row r="1">
      <c r="E1" t="inlineStr">
        <is>
          <t>学生成绩表</t>
        </is>
      </c>
    </row>
    <row customHeight="1" ht="16.85" r="2">
      <c r="C2" s="1" t="inlineStr">
        <is>
          <t>平时（%）</t>
        </is>
      </c>
      <c r="D2" s="2" t="n">
        <v>0.4</v>
      </c>
      <c r="E2" s="1" t="inlineStr">
        <is>
          <t>期末（%）</t>
        </is>
      </c>
      <c r="F2" s="2" t="n">
        <v>0.6</v>
      </c>
    </row>
    <row r="3">
      <c r="B3" s="3" t="inlineStr">
        <is>
          <t>序号</t>
        </is>
      </c>
      <c r="C3" s="3" t="inlineStr">
        <is>
          <t>学号</t>
        </is>
      </c>
      <c r="D3" s="3" t="inlineStr">
        <is>
          <t>姓名</t>
        </is>
      </c>
      <c r="E3" s="3" t="inlineStr">
        <is>
          <t>平时成绩</t>
        </is>
      </c>
      <c r="F3" s="3" t="inlineStr">
        <is>
          <t>期末成绩</t>
        </is>
      </c>
      <c r="G3" s="3" t="inlineStr">
        <is>
          <t>总成绩</t>
        </is>
      </c>
      <c r="H3" s="3" t="inlineStr">
        <is>
          <t>是否补考</t>
        </is>
      </c>
      <c r="I3" s="3" t="inlineStr">
        <is>
          <t>名次</t>
        </is>
      </c>
    </row>
    <row r="4">
      <c r="B4" s="3" t="n">
        <v>1</v>
      </c>
      <c r="C4" s="4" t="inlineStr">
        <is>
          <t>000111</t>
        </is>
      </c>
      <c r="D4" s="3" t="inlineStr">
        <is>
          <t>张三</t>
        </is>
      </c>
      <c r="E4" s="3" t="n">
        <v>77</v>
      </c>
      <c r="F4" s="3" t="n">
        <v>88</v>
      </c>
      <c r="G4" s="3">
        <f>E4*$D$2+F4*$F$2</f>
        <v/>
      </c>
      <c r="H4" s="3">
        <f>IF(G4&gt;=80,"优秀",IF(G4&gt;=60,"合格","补考"))</f>
        <v/>
      </c>
      <c r="I4" s="3" t="n">
        <f>RANK(G4,$G$4:$G$53,0)</f>
        <v>2</v>
      </c>
    </row>
    <row r="5">
      <c r="B5" s="3" t="n">
        <v>2</v>
      </c>
      <c r="C5" s="4" t="inlineStr">
        <is>
          <t>000112</t>
        </is>
      </c>
      <c r="D5" s="3" t="inlineStr">
        <is>
          <t>张四</t>
        </is>
      </c>
      <c r="E5" s="3" t="n">
        <v>78</v>
      </c>
      <c r="F5" s="3" t="n">
        <v>67</v>
      </c>
      <c r="G5" s="3">
        <f>E5*$D$2+F5*$F$2</f>
        <v/>
      </c>
      <c r="H5" s="3">
        <f>IF(G5&gt;=80,"优秀",IF(G5&gt;=60,"合格","补考"))</f>
        <v/>
      </c>
      <c r="I5" s="3" t="n">
        <f>RANK(G5,$G$4:$G$53,0)</f>
        <v>3</v>
      </c>
    </row>
    <row r="6">
      <c r="B6" s="3" t="n">
        <v>3</v>
      </c>
      <c r="C6" s="4" t="inlineStr">
        <is>
          <t>000114</t>
        </is>
      </c>
      <c r="D6" s="3" t="inlineStr">
        <is>
          <t>李四</t>
        </is>
      </c>
      <c r="E6" s="3" t="n">
        <v>87</v>
      </c>
      <c r="F6" s="3" t="n">
        <v>86</v>
      </c>
      <c r="G6" s="3">
        <f>E6*$D$2+F6*$F$2</f>
        <v/>
      </c>
      <c r="H6" s="3">
        <f>IF(G6&gt;=80,"优秀",IF(G6&gt;=60,"合格","补考"))</f>
        <v/>
      </c>
      <c r="I6" s="3" t="n">
        <f>RANK(G6,$G$4:$G$53,0)</f>
        <v>1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</sheetData>
  <pageMargins bottom="0.75" footer="0.3" header="0.3" left="0.7" right="0.7" top="0.75"/>
  <pageSetup orientation="portrait" paperSize="9"/>
  <legacyDrawing ns1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yy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2026-10-25T09:39:06Z</dcterms:modified>
  <cp:lastModifiedBy>li</cp:lastModifiedBy>
</cp:coreProperties>
</file>