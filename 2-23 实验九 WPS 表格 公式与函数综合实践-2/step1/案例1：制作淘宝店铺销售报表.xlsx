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1" windowHeight="910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<sst xmlns="http://schemas.openxmlformats.org/spreadsheetml/2006/main" count="13" uniqueCount="13">
  <si>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淘宝店铺销售报表</t>
  </si>
  <si>
    <t>累计付款件数</t>
  </si>
  <si>
    <t>累计成交金额</t>
  </si>
  <si>
    <t>平均浏览量</t>
  </si>
  <si>
    <t>日期</t>
  </si>
  <si>
    <t>浏览量</t>
  </si>
  <si>
    <t>访客数</t>
  </si>
  <si>
    <t>拍下金额</t>
  </si>
  <si>
    <t>拍下笔数</t>
  </si>
  <si>
    <t>成交人数</t>
  </si>
  <si>
    <t>付款
件数</t>
  </si>
  <si>
    <t>成交金额</t>
  </si>
  <si>
    <t>全店转化率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</si>
</sst>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color theme="0"/>
      <name val="微软雅黑"/>
      <charset val="134"/>
    </font>
    <font>
      <b/>
      <sz val="12"/>
      <color indexed="8"/>
      <name val="微软雅黑"/>
      <charset val="134"/>
    </font>
    <font>
      <b/>
      <sz val="11"/>
      <color indexed="9"/>
      <name val="微软雅黑"/>
      <charset val="134"/>
    </font>
    <font>
      <sz val="11"/>
      <color theme="2" tint="-0.899990844447157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3" fontId="6" fillId="0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9"/>
  <sheetViews>
    <sheetView showGridLines="0" tabSelected="1" workbookViewId="0">
      <selection activeCell="L12" sqref="L12"/>
    </sheetView>
  </sheetViews>
  <sheetFormatPr defaultColWidth="9" defaultRowHeight="14.1"/>
  <cols>
    <col min="1" max="1" width="4.12280701754386" customWidth="1"/>
    <col min="2" max="2" width="11.5" customWidth="1"/>
    <col min="3" max="3" width="12.6228070175439" customWidth="1"/>
    <col min="4" max="4" width="14" customWidth="1"/>
    <col min="5" max="5" width="13.7543859649123" customWidth="1"/>
    <col min="6" max="6" width="13.3771929824561" customWidth="1"/>
    <col min="7" max="7" width="15" customWidth="1"/>
    <col min="8" max="8" width="16.1228070175439" customWidth="1"/>
    <col min="9" max="9" width="15.1228070175439" customWidth="1"/>
    <col min="10" max="10" width="15.3771929824561" customWidth="1"/>
    <col min="11" max="11" width="11.2543859649123" customWidth="1"/>
  </cols>
  <sheetData>
    <row r="1" ht="26.1" customHeight="1" spans="3:10">
      <c r="C1" s="1"/>
      <c r="D1" s="1"/>
      <c r="E1" s="2"/>
      <c r="F1" s="2"/>
      <c r="G1" s="2"/>
      <c r="H1" s="2"/>
      <c r="I1" s="2"/>
      <c r="J1" s="2"/>
    </row>
    <row r="2" ht="26.1" customHeight="1" spans="2:10">
      <c r="B2" s="1" t="s">
        <v>0</v>
      </c>
      <c r="E2" s="3" t="s">
        <v>1</v>
      </c>
      <c r="F2" s="4">
        <f>SUM($H$5:$H$19)</f>
        <v>8689</v>
      </c>
      <c r="G2" s="3" t="s">
        <v>2</v>
      </c>
      <c r="H2" s="5">
        <f>SUM($I$5:$I$19)</f>
        <v>1206555</v>
      </c>
      <c r="I2" s="3" t="s">
        <v>3</v>
      </c>
      <c r="J2" s="12">
        <f>ROUND(AVERAGE($C$5:$C$19),0)</f>
        <v>34709</v>
      </c>
    </row>
    <row r="3" ht="26.1" customHeight="1" spans="2:10">
      <c r="B3" s="1"/>
      <c r="C3" s="1"/>
      <c r="D3" s="1"/>
      <c r="E3" s="1"/>
      <c r="F3" s="1"/>
      <c r="G3" s="2"/>
      <c r="H3" s="2"/>
      <c r="I3" s="1"/>
      <c r="J3" s="1"/>
    </row>
    <row r="4" ht="24" customHeight="1" spans="2:10">
      <c r="B4" s="3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ht="24" customHeight="1" spans="2:10">
      <c r="B5" s="7">
        <v>44075</v>
      </c>
      <c r="C5" s="8">
        <v>34769</v>
      </c>
      <c r="D5" s="8">
        <v>29897</v>
      </c>
      <c r="E5" s="9">
        <v>23170</v>
      </c>
      <c r="F5" s="8">
        <v>195</v>
      </c>
      <c r="G5" s="8">
        <v>177</v>
      </c>
      <c r="H5" s="8">
        <v>166</v>
      </c>
      <c r="I5" s="9">
        <v>23170</v>
      </c>
      <c r="J5" s="13">
        <f>IF(D5="","",G5/D5)</f>
        <v>0.00592032645415928</v>
      </c>
    </row>
    <row r="6" ht="24" customHeight="1" spans="2:10">
      <c r="B6" s="7">
        <v>44076</v>
      </c>
      <c r="C6" s="10">
        <v>44384</v>
      </c>
      <c r="D6" s="8">
        <v>17384</v>
      </c>
      <c r="E6" s="9">
        <v>38717</v>
      </c>
      <c r="F6" s="8">
        <v>275</v>
      </c>
      <c r="G6" s="8">
        <v>141</v>
      </c>
      <c r="H6" s="8">
        <v>223</v>
      </c>
      <c r="I6" s="9">
        <v>38717</v>
      </c>
      <c r="J6" s="13">
        <f t="shared" ref="J6:J19" si="0">IF(D6="","",G6/D6)</f>
        <v>0.00811090658076392</v>
      </c>
    </row>
    <row r="7" ht="24" customHeight="1" spans="2:10">
      <c r="B7" s="7">
        <v>44077</v>
      </c>
      <c r="C7" s="8">
        <v>18838</v>
      </c>
      <c r="D7" s="8">
        <v>6818</v>
      </c>
      <c r="E7" s="9">
        <v>41107</v>
      </c>
      <c r="F7" s="8">
        <v>317</v>
      </c>
      <c r="G7" s="8">
        <v>154</v>
      </c>
      <c r="H7" s="8">
        <v>246</v>
      </c>
      <c r="I7" s="9">
        <v>41107</v>
      </c>
      <c r="J7" s="13">
        <f t="shared" si="0"/>
        <v>0.0225872689938398</v>
      </c>
    </row>
    <row r="8" ht="24" customHeight="1" spans="2:10">
      <c r="B8" s="7">
        <v>44078</v>
      </c>
      <c r="C8" s="8">
        <v>21107</v>
      </c>
      <c r="D8" s="8">
        <v>20481</v>
      </c>
      <c r="E8" s="9">
        <v>47715</v>
      </c>
      <c r="F8" s="8">
        <v>352</v>
      </c>
      <c r="G8" s="8">
        <v>169</v>
      </c>
      <c r="H8" s="8">
        <v>253</v>
      </c>
      <c r="I8" s="9">
        <v>47715</v>
      </c>
      <c r="J8" s="13">
        <f t="shared" si="0"/>
        <v>0.00825155021727455</v>
      </c>
    </row>
    <row r="9" ht="24" customHeight="1" spans="2:10">
      <c r="B9" s="7">
        <v>44079</v>
      </c>
      <c r="C9" s="8">
        <v>25918</v>
      </c>
      <c r="D9" s="8">
        <v>20811</v>
      </c>
      <c r="E9" s="9">
        <v>76890</v>
      </c>
      <c r="F9" s="8">
        <v>460</v>
      </c>
      <c r="G9" s="8">
        <v>463</v>
      </c>
      <c r="H9" s="8">
        <v>470</v>
      </c>
      <c r="I9" s="9">
        <v>76890</v>
      </c>
      <c r="J9" s="13">
        <f t="shared" si="0"/>
        <v>0.0222478496948729</v>
      </c>
    </row>
    <row r="10" ht="24" customHeight="1" spans="2:10">
      <c r="B10" s="7">
        <v>44080</v>
      </c>
      <c r="C10" s="8">
        <v>36827</v>
      </c>
      <c r="D10" s="8">
        <v>32189</v>
      </c>
      <c r="E10" s="9">
        <v>79958</v>
      </c>
      <c r="F10" s="8">
        <v>528</v>
      </c>
      <c r="G10" s="8">
        <v>560</v>
      </c>
      <c r="H10" s="8">
        <v>624</v>
      </c>
      <c r="I10" s="9">
        <v>79958</v>
      </c>
      <c r="J10" s="13">
        <f t="shared" si="0"/>
        <v>0.0173972475069123</v>
      </c>
    </row>
    <row r="11" ht="24" customHeight="1" spans="2:10">
      <c r="B11" s="7">
        <v>44081</v>
      </c>
      <c r="C11" s="10">
        <v>57473</v>
      </c>
      <c r="D11" s="8">
        <v>41841</v>
      </c>
      <c r="E11" s="9">
        <v>95053</v>
      </c>
      <c r="F11" s="8">
        <v>583</v>
      </c>
      <c r="G11" s="8">
        <v>601</v>
      </c>
      <c r="H11" s="8">
        <v>609</v>
      </c>
      <c r="I11" s="9">
        <v>95053</v>
      </c>
      <c r="J11" s="13">
        <f t="shared" si="0"/>
        <v>0.0143639014363901</v>
      </c>
    </row>
    <row r="12" ht="24" customHeight="1" spans="2:10">
      <c r="B12" s="7">
        <v>44082</v>
      </c>
      <c r="C12" s="8">
        <v>37511</v>
      </c>
      <c r="D12" s="8">
        <v>24811</v>
      </c>
      <c r="E12" s="9">
        <v>86738</v>
      </c>
      <c r="F12" s="8">
        <v>558</v>
      </c>
      <c r="G12" s="8">
        <v>529</v>
      </c>
      <c r="H12" s="8">
        <v>601</v>
      </c>
      <c r="I12" s="9">
        <v>86738</v>
      </c>
      <c r="J12" s="13">
        <f t="shared" si="0"/>
        <v>0.0213211881826609</v>
      </c>
    </row>
    <row r="13" ht="24" customHeight="1" spans="2:10">
      <c r="B13" s="7">
        <v>44083</v>
      </c>
      <c r="C13" s="8">
        <v>41504</v>
      </c>
      <c r="D13" s="8">
        <v>18891</v>
      </c>
      <c r="E13" s="9">
        <v>93225</v>
      </c>
      <c r="F13" s="8">
        <v>647</v>
      </c>
      <c r="G13" s="8">
        <v>613</v>
      </c>
      <c r="H13" s="8">
        <v>601</v>
      </c>
      <c r="I13" s="9">
        <v>93225</v>
      </c>
      <c r="J13" s="13">
        <f t="shared" si="0"/>
        <v>0.0324493144883807</v>
      </c>
    </row>
    <row r="14" ht="24" customHeight="1" spans="2:10">
      <c r="B14" s="7">
        <v>44084</v>
      </c>
      <c r="C14" s="8">
        <v>34769</v>
      </c>
      <c r="D14" s="10">
        <v>32184</v>
      </c>
      <c r="E14" s="11">
        <v>115440</v>
      </c>
      <c r="F14" s="10">
        <v>724</v>
      </c>
      <c r="G14" s="10">
        <v>729</v>
      </c>
      <c r="H14" s="10">
        <v>705</v>
      </c>
      <c r="I14" s="11">
        <v>115440</v>
      </c>
      <c r="J14" s="13">
        <f t="shared" si="0"/>
        <v>0.0226510067114094</v>
      </c>
    </row>
    <row r="15" ht="24" customHeight="1" spans="2:10">
      <c r="B15" s="7">
        <v>44085</v>
      </c>
      <c r="C15" s="10">
        <v>50590</v>
      </c>
      <c r="D15" s="10">
        <v>52684</v>
      </c>
      <c r="E15" s="11">
        <v>114315</v>
      </c>
      <c r="F15" s="10">
        <v>728</v>
      </c>
      <c r="G15" s="10">
        <v>859</v>
      </c>
      <c r="H15" s="10">
        <v>943</v>
      </c>
      <c r="I15" s="11">
        <v>114315</v>
      </c>
      <c r="J15" s="13">
        <f t="shared" si="0"/>
        <v>0.0163047604585833</v>
      </c>
    </row>
    <row r="16" ht="24" customHeight="1" spans="2:10">
      <c r="B16" s="7">
        <v>44086</v>
      </c>
      <c r="C16" s="10">
        <v>54256</v>
      </c>
      <c r="D16" s="10">
        <v>43237</v>
      </c>
      <c r="E16" s="11">
        <v>104172</v>
      </c>
      <c r="F16" s="10">
        <v>696</v>
      </c>
      <c r="G16" s="10">
        <v>964</v>
      </c>
      <c r="H16" s="10">
        <v>1037</v>
      </c>
      <c r="I16" s="11">
        <v>104172</v>
      </c>
      <c r="J16" s="13">
        <f t="shared" si="0"/>
        <v>0.0222957189444226</v>
      </c>
    </row>
    <row r="17" ht="24" customHeight="1" spans="2:10">
      <c r="B17" s="7">
        <v>44087</v>
      </c>
      <c r="C17" s="8">
        <v>15094</v>
      </c>
      <c r="D17" s="10">
        <v>10481</v>
      </c>
      <c r="E17" s="11">
        <v>115044</v>
      </c>
      <c r="F17" s="10">
        <v>728</v>
      </c>
      <c r="G17" s="10">
        <v>896</v>
      </c>
      <c r="H17" s="10">
        <v>978</v>
      </c>
      <c r="I17" s="11">
        <v>115044</v>
      </c>
      <c r="J17" s="13">
        <f t="shared" si="0"/>
        <v>0.0854880259517222</v>
      </c>
    </row>
    <row r="18" ht="24" customHeight="1" spans="2:10">
      <c r="B18" s="7">
        <v>44088</v>
      </c>
      <c r="C18" s="8">
        <v>26827</v>
      </c>
      <c r="D18" s="8">
        <v>12189</v>
      </c>
      <c r="E18" s="9">
        <v>79958</v>
      </c>
      <c r="F18" s="8">
        <v>528</v>
      </c>
      <c r="G18" s="8">
        <v>560</v>
      </c>
      <c r="H18" s="8">
        <v>624</v>
      </c>
      <c r="I18" s="9">
        <v>79958</v>
      </c>
      <c r="J18" s="13">
        <f t="shared" si="0"/>
        <v>0.0459430634178358</v>
      </c>
    </row>
    <row r="19" ht="24" customHeight="1" spans="2:10">
      <c r="B19" s="7">
        <v>44089</v>
      </c>
      <c r="C19" s="8">
        <v>20769</v>
      </c>
      <c r="D19" s="8">
        <v>41841</v>
      </c>
      <c r="E19" s="9">
        <v>95053</v>
      </c>
      <c r="F19" s="8">
        <v>583</v>
      </c>
      <c r="G19" s="8">
        <v>601</v>
      </c>
      <c r="H19" s="8">
        <v>609</v>
      </c>
      <c r="I19" s="9">
        <v>95053</v>
      </c>
      <c r="J19" s="13">
        <f t="shared" si="0"/>
        <v>0.0143639014363901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2020-08-10T07:48:00Z</dcterms:created>
  <dcterms:modified xsi:type="dcterms:W3CDTF">2022-07-20T03:11:56Z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D7910B2E6D484DE4968EFA4F25E4EF72</vt:lpwstr>
  </property>
</Properties>
</file>