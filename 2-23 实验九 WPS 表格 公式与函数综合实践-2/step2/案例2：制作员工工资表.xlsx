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02" activeTab="2"/>
  </bookViews>
  <sheets>
    <sheet name="工资核算表" sheetId="1" r:id="rId1"/>
    <sheet name="职务津贴表" sheetId="2" r:id="rId2"/>
    <sheet name="工资条" sheetId="3" r:id="rId3"/>
    <sheet name="Sheet4" sheetId="4" state="hidden" r:id="rId4"/>
  </sheets>
  <calcPr calcId="144525"/>
</workbook>
</file>

<file path=xl/sharedStrings.xml><?xml version="1.0" encoding="utf-8"?>
<sst xmlns="http://schemas.openxmlformats.org/spreadsheetml/2006/main" count="415" uniqueCount="47">
  <si>
    <t>姓名</t>
  </si>
  <si>
    <t>部门</t>
  </si>
  <si>
    <t>职务</t>
  </si>
  <si>
    <t>入职时间</t>
  </si>
  <si>
    <t>基本工资</t>
  </si>
  <si>
    <t>工龄</t>
  </si>
  <si>
    <t>工龄工资</t>
  </si>
  <si>
    <t>绩效奖金</t>
  </si>
  <si>
    <t>岗位津贴</t>
  </si>
  <si>
    <t>应付工资</t>
  </si>
  <si>
    <t>社保扣款</t>
  </si>
  <si>
    <t>应扣所得税</t>
  </si>
  <si>
    <t>实发工资</t>
  </si>
  <si>
    <t>刘勇</t>
  </si>
  <si>
    <t>业务部</t>
  </si>
  <si>
    <t>技术员</t>
  </si>
  <si>
    <t>蒋小智</t>
  </si>
  <si>
    <t>生产部</t>
  </si>
  <si>
    <t>专员</t>
  </si>
  <si>
    <t>吴磊</t>
  </si>
  <si>
    <t>行政部</t>
  </si>
  <si>
    <t>吴盼盼</t>
  </si>
  <si>
    <t>孙乾</t>
  </si>
  <si>
    <t>经理</t>
  </si>
  <si>
    <t>刘东</t>
  </si>
  <si>
    <t>张婷</t>
  </si>
  <si>
    <t>财务部</t>
  </si>
  <si>
    <t>会计</t>
  </si>
  <si>
    <t>刘珂</t>
  </si>
  <si>
    <t>出纳</t>
  </si>
  <si>
    <t>吴美玲</t>
  </si>
  <si>
    <t>设计部</t>
  </si>
  <si>
    <t>阮瑀</t>
  </si>
  <si>
    <t>设计师</t>
  </si>
  <si>
    <t>赵富强</t>
  </si>
  <si>
    <t>张可</t>
  </si>
  <si>
    <t>江丽</t>
  </si>
  <si>
    <t>实习</t>
  </si>
  <si>
    <t>郑青</t>
  </si>
  <si>
    <t>王蕾</t>
  </si>
  <si>
    <t>蒋芳芳</t>
  </si>
  <si>
    <t>刘晓莉</t>
  </si>
  <si>
    <t>丁凯</t>
  </si>
  <si>
    <t>赵明曼</t>
  </si>
  <si>
    <t>吴浩</t>
  </si>
  <si>
    <t>职位</t>
  </si>
  <si>
    <t>职务津贴费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</si>
</sst>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yyyy/m/d;@"/>
    <numFmt numFmtId="178" formatCode="\¥#,##0_);[Red]\(\¥#,##0\)"/>
    <numFmt numFmtId="179" formatCode="00#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right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78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179" fontId="5" fillId="0" borderId="6" xfId="0" applyNumberFormat="1" applyFont="1" applyBorder="1" applyAlignment="1">
      <alignment horizontal="left"/>
    </xf>
    <xf numFmtId="179" fontId="5" fillId="0" borderId="7" xfId="0" applyNumberFormat="1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N33" sqref="N33"/>
    </sheetView>
  </sheetViews>
  <sheetFormatPr defaultColWidth="9" defaultRowHeight="16.5"/>
  <cols>
    <col min="1" max="1" width="8.87719298245614" style="1" customWidth="1"/>
    <col min="2" max="2" width="8.25438596491228" style="1" customWidth="1"/>
    <col min="3" max="3" width="8.62280701754386" style="1" customWidth="1"/>
    <col min="4" max="4" width="11.2543859649123" style="1" customWidth="1"/>
    <col min="5" max="5" width="10" style="1" customWidth="1"/>
    <col min="6" max="6" width="6.75438596491228" style="1" customWidth="1"/>
    <col min="7" max="7" width="12.1228070175439" style="2" customWidth="1"/>
    <col min="8" max="8" width="10.5" style="2" customWidth="1"/>
    <col min="9" max="9" width="11.8771929824561" style="2" customWidth="1"/>
    <col min="10" max="10" width="12.8771929824561" style="2" customWidth="1"/>
    <col min="11" max="11" width="10.7543859649123" style="2" customWidth="1"/>
    <col min="12" max="12" width="11.5" style="2" customWidth="1"/>
    <col min="13" max="13" width="12.8771929824561" style="2" customWidth="1"/>
    <col min="14" max="16384" width="9" style="1"/>
  </cols>
  <sheetData>
    <row r="1" ht="18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18" customHeight="1" spans="1:13">
      <c r="A2" s="15" t="s">
        <v>13</v>
      </c>
      <c r="B2" s="16" t="s">
        <v>14</v>
      </c>
      <c r="C2" s="17" t="s">
        <v>15</v>
      </c>
      <c r="D2" s="18">
        <v>41886</v>
      </c>
      <c r="E2" s="19">
        <v>5000</v>
      </c>
      <c r="F2" s="20">
        <f ca="1">DATEDIF(D2,TODAY(),"Y")</f>
        <v>7</v>
      </c>
      <c r="G2" s="21">
        <f ca="1">IF(F2&lt;4,F2*50,F2*100)</f>
        <v>700</v>
      </c>
      <c r="H2" s="21">
        <v>450</v>
      </c>
      <c r="I2" s="21">
        <f>VLOOKUP(C2,职务津贴表!$A$1:$B$8,2,FALSE)</f>
        <v>650</v>
      </c>
      <c r="J2" s="21">
        <f ca="1">E2+G2+H2+I2</f>
        <v>6800</v>
      </c>
      <c r="K2" s="21">
        <v>380</v>
      </c>
      <c r="L2" s="21">
        <v>25.2</v>
      </c>
      <c r="M2" s="21">
        <f ca="1">J2-K2-L2</f>
        <v>6394.8</v>
      </c>
    </row>
    <row r="3" ht="18" customHeight="1" spans="1:13">
      <c r="A3" s="22" t="s">
        <v>16</v>
      </c>
      <c r="B3" s="23" t="s">
        <v>17</v>
      </c>
      <c r="C3" s="17" t="s">
        <v>18</v>
      </c>
      <c r="D3" s="18">
        <v>40787</v>
      </c>
      <c r="E3" s="19">
        <v>3500</v>
      </c>
      <c r="F3" s="20">
        <f ca="1" t="shared" ref="F3:F21" si="0">DATEDIF(D3,TODAY(),"Y")</f>
        <v>10</v>
      </c>
      <c r="G3" s="21">
        <f ca="1" t="shared" ref="G3:G21" si="1">IF(F3&lt;4,F3*50,F3*100)</f>
        <v>1000</v>
      </c>
      <c r="H3" s="21">
        <v>380</v>
      </c>
      <c r="I3" s="21">
        <f>VLOOKUP(C3,职务津贴表!$A$1:$B$8,2,FALSE)</f>
        <v>700</v>
      </c>
      <c r="J3" s="21">
        <f ca="1" t="shared" ref="J2:J21" si="2">E3+G3+H3+I3</f>
        <v>5580</v>
      </c>
      <c r="K3" s="21">
        <v>440</v>
      </c>
      <c r="L3" s="21">
        <v>27.2</v>
      </c>
      <c r="M3" s="21">
        <f ca="1" t="shared" ref="M2:M21" si="3">J3-K3-L3</f>
        <v>5112.8</v>
      </c>
    </row>
    <row r="4" ht="18" customHeight="1" spans="1:13">
      <c r="A4" s="22" t="s">
        <v>19</v>
      </c>
      <c r="B4" s="16" t="s">
        <v>20</v>
      </c>
      <c r="C4" s="17" t="s">
        <v>15</v>
      </c>
      <c r="D4" s="18">
        <v>40257</v>
      </c>
      <c r="E4" s="19">
        <v>5000</v>
      </c>
      <c r="F4" s="20">
        <f ca="1" t="shared" si="0"/>
        <v>12</v>
      </c>
      <c r="G4" s="21">
        <f ca="1" t="shared" si="1"/>
        <v>1200</v>
      </c>
      <c r="H4" s="21">
        <v>400</v>
      </c>
      <c r="I4" s="21">
        <f>VLOOKUP(C4,职务津贴表!$A$1:$B$8,2,FALSE)</f>
        <v>650</v>
      </c>
      <c r="J4" s="21">
        <f ca="1" t="shared" si="2"/>
        <v>7250</v>
      </c>
      <c r="K4" s="21">
        <v>440</v>
      </c>
      <c r="L4" s="21">
        <v>27.2</v>
      </c>
      <c r="M4" s="21">
        <f ca="1" t="shared" si="3"/>
        <v>6782.8</v>
      </c>
    </row>
    <row r="5" ht="18" customHeight="1" spans="1:13">
      <c r="A5" s="22" t="s">
        <v>21</v>
      </c>
      <c r="B5" s="24" t="s">
        <v>17</v>
      </c>
      <c r="C5" s="17" t="s">
        <v>18</v>
      </c>
      <c r="D5" s="18">
        <v>40824</v>
      </c>
      <c r="E5" s="19">
        <v>3500</v>
      </c>
      <c r="F5" s="20">
        <f ca="1" t="shared" si="0"/>
        <v>10</v>
      </c>
      <c r="G5" s="21">
        <f ca="1" t="shared" si="1"/>
        <v>1000</v>
      </c>
      <c r="H5" s="21">
        <v>400</v>
      </c>
      <c r="I5" s="21">
        <f>VLOOKUP(C5,职务津贴表!$A$1:$B$8,2,FALSE)</f>
        <v>700</v>
      </c>
      <c r="J5" s="21">
        <f ca="1" t="shared" si="2"/>
        <v>5600</v>
      </c>
      <c r="K5" s="21">
        <v>440</v>
      </c>
      <c r="L5" s="21">
        <v>27.2</v>
      </c>
      <c r="M5" s="21">
        <f ca="1" t="shared" si="3"/>
        <v>5132.8</v>
      </c>
    </row>
    <row r="6" ht="18" customHeight="1" spans="1:13">
      <c r="A6" s="25" t="s">
        <v>22</v>
      </c>
      <c r="B6" s="26" t="s">
        <v>14</v>
      </c>
      <c r="C6" s="17" t="s">
        <v>23</v>
      </c>
      <c r="D6" s="18">
        <v>39676</v>
      </c>
      <c r="E6" s="19">
        <v>6000</v>
      </c>
      <c r="F6" s="20">
        <f ca="1" t="shared" si="0"/>
        <v>13</v>
      </c>
      <c r="G6" s="21">
        <f ca="1" t="shared" si="1"/>
        <v>1300</v>
      </c>
      <c r="H6" s="21">
        <v>680</v>
      </c>
      <c r="I6" s="21">
        <f>VLOOKUP(C6,职务津贴表!$A$1:$B$8,2,FALSE)</f>
        <v>900</v>
      </c>
      <c r="J6" s="21">
        <f ca="1" t="shared" si="2"/>
        <v>8880</v>
      </c>
      <c r="K6" s="21">
        <v>380</v>
      </c>
      <c r="L6" s="21">
        <v>25.2</v>
      </c>
      <c r="M6" s="21">
        <f ca="1" t="shared" si="3"/>
        <v>8474.8</v>
      </c>
    </row>
    <row r="7" ht="18" customHeight="1" spans="1:13">
      <c r="A7" s="22" t="s">
        <v>24</v>
      </c>
      <c r="B7" s="24" t="s">
        <v>20</v>
      </c>
      <c r="C7" s="17" t="s">
        <v>23</v>
      </c>
      <c r="D7" s="18">
        <v>39911</v>
      </c>
      <c r="E7" s="19">
        <v>8500</v>
      </c>
      <c r="F7" s="20">
        <f ca="1" t="shared" si="0"/>
        <v>13</v>
      </c>
      <c r="G7" s="21">
        <f ca="1" t="shared" si="1"/>
        <v>1300</v>
      </c>
      <c r="H7" s="21">
        <v>500</v>
      </c>
      <c r="I7" s="21">
        <f>VLOOKUP(C7,职务津贴表!$A$1:$B$8,2,FALSE)</f>
        <v>900</v>
      </c>
      <c r="J7" s="21">
        <f ca="1" t="shared" si="2"/>
        <v>11200</v>
      </c>
      <c r="K7" s="21">
        <v>440</v>
      </c>
      <c r="L7" s="21">
        <v>27.2</v>
      </c>
      <c r="M7" s="21">
        <f ca="1" t="shared" si="3"/>
        <v>10732.8</v>
      </c>
    </row>
    <row r="8" ht="18" customHeight="1" spans="1:13">
      <c r="A8" s="22" t="s">
        <v>25</v>
      </c>
      <c r="B8" s="24" t="s">
        <v>26</v>
      </c>
      <c r="C8" s="17" t="s">
        <v>27</v>
      </c>
      <c r="D8" s="18">
        <v>43224</v>
      </c>
      <c r="E8" s="19">
        <v>5000</v>
      </c>
      <c r="F8" s="20">
        <f ca="1" t="shared" si="0"/>
        <v>4</v>
      </c>
      <c r="G8" s="21">
        <f ca="1" t="shared" si="1"/>
        <v>400</v>
      </c>
      <c r="H8" s="21">
        <v>200</v>
      </c>
      <c r="I8" s="21">
        <f>VLOOKUP(C8,职务津贴表!$A$1:$B$8,2,FALSE)</f>
        <v>1000</v>
      </c>
      <c r="J8" s="21">
        <f ca="1" t="shared" si="2"/>
        <v>6600</v>
      </c>
      <c r="K8" s="21">
        <v>0</v>
      </c>
      <c r="L8" s="21">
        <v>0</v>
      </c>
      <c r="M8" s="21">
        <f ca="1" t="shared" si="3"/>
        <v>6600</v>
      </c>
    </row>
    <row r="9" ht="18" customHeight="1" spans="1:13">
      <c r="A9" s="22" t="s">
        <v>28</v>
      </c>
      <c r="B9" s="24" t="s">
        <v>26</v>
      </c>
      <c r="C9" s="17" t="s">
        <v>29</v>
      </c>
      <c r="D9" s="18">
        <v>43260</v>
      </c>
      <c r="E9" s="19">
        <v>2900</v>
      </c>
      <c r="F9" s="20">
        <f ca="1" t="shared" si="0"/>
        <v>4</v>
      </c>
      <c r="G9" s="21">
        <f ca="1" t="shared" si="1"/>
        <v>400</v>
      </c>
      <c r="H9" s="21">
        <v>200</v>
      </c>
      <c r="I9" s="21">
        <f>VLOOKUP(C9,职务津贴表!$A$1:$B$8,2,FALSE)</f>
        <v>500</v>
      </c>
      <c r="J9" s="21">
        <f ca="1" t="shared" si="2"/>
        <v>4000</v>
      </c>
      <c r="K9" s="21">
        <v>0</v>
      </c>
      <c r="L9" s="21">
        <v>0</v>
      </c>
      <c r="M9" s="21">
        <f ca="1" t="shared" si="3"/>
        <v>4000</v>
      </c>
    </row>
    <row r="10" ht="18" customHeight="1" spans="1:13">
      <c r="A10" s="22" t="s">
        <v>30</v>
      </c>
      <c r="B10" s="24" t="s">
        <v>31</v>
      </c>
      <c r="C10" s="17" t="s">
        <v>23</v>
      </c>
      <c r="D10" s="18">
        <v>41157</v>
      </c>
      <c r="E10" s="19">
        <v>8000</v>
      </c>
      <c r="F10" s="20">
        <f ca="1" t="shared" si="0"/>
        <v>9</v>
      </c>
      <c r="G10" s="21">
        <f ca="1" t="shared" si="1"/>
        <v>900</v>
      </c>
      <c r="H10" s="21">
        <v>580</v>
      </c>
      <c r="I10" s="21">
        <f>VLOOKUP(C10,职务津贴表!$A$1:$B$8,2,FALSE)</f>
        <v>900</v>
      </c>
      <c r="J10" s="21">
        <f ca="1" t="shared" si="2"/>
        <v>10380</v>
      </c>
      <c r="K10" s="21">
        <v>440</v>
      </c>
      <c r="L10" s="21">
        <v>27.2</v>
      </c>
      <c r="M10" s="21">
        <f ca="1" t="shared" si="3"/>
        <v>9912.8</v>
      </c>
    </row>
    <row r="11" ht="18" customHeight="1" spans="1:13">
      <c r="A11" s="22" t="s">
        <v>32</v>
      </c>
      <c r="B11" s="24" t="s">
        <v>31</v>
      </c>
      <c r="C11" s="17" t="s">
        <v>33</v>
      </c>
      <c r="D11" s="18">
        <v>40394</v>
      </c>
      <c r="E11" s="19">
        <v>4500</v>
      </c>
      <c r="F11" s="20">
        <f ca="1" t="shared" si="0"/>
        <v>11</v>
      </c>
      <c r="G11" s="21">
        <f ca="1" t="shared" si="1"/>
        <v>1100</v>
      </c>
      <c r="H11" s="21">
        <v>400</v>
      </c>
      <c r="I11" s="21">
        <f>VLOOKUP(C11,职务津贴表!$A$1:$B$8,2,FALSE)</f>
        <v>800</v>
      </c>
      <c r="J11" s="21">
        <f ca="1" t="shared" si="2"/>
        <v>6800</v>
      </c>
      <c r="K11" s="21">
        <v>440</v>
      </c>
      <c r="L11" s="21">
        <v>27.2</v>
      </c>
      <c r="M11" s="21">
        <f ca="1" t="shared" si="3"/>
        <v>6332.8</v>
      </c>
    </row>
    <row r="12" ht="18" customHeight="1" spans="1:13">
      <c r="A12" s="22" t="s">
        <v>34</v>
      </c>
      <c r="B12" s="24" t="s">
        <v>14</v>
      </c>
      <c r="C12" s="17" t="s">
        <v>18</v>
      </c>
      <c r="D12" s="18">
        <v>43260</v>
      </c>
      <c r="E12" s="19">
        <v>3500</v>
      </c>
      <c r="F12" s="20">
        <f ca="1" t="shared" si="0"/>
        <v>4</v>
      </c>
      <c r="G12" s="21">
        <f ca="1" t="shared" si="1"/>
        <v>400</v>
      </c>
      <c r="H12" s="21">
        <v>380</v>
      </c>
      <c r="I12" s="21">
        <f>VLOOKUP(C12,职务津贴表!$A$1:$B$8,2,FALSE)</f>
        <v>700</v>
      </c>
      <c r="J12" s="21">
        <f ca="1" t="shared" si="2"/>
        <v>4980</v>
      </c>
      <c r="K12" s="21">
        <v>440</v>
      </c>
      <c r="L12" s="21">
        <v>27.2</v>
      </c>
      <c r="M12" s="21">
        <f ca="1" t="shared" si="3"/>
        <v>4512.8</v>
      </c>
    </row>
    <row r="13" ht="18" customHeight="1" spans="1:13">
      <c r="A13" s="22" t="s">
        <v>35</v>
      </c>
      <c r="B13" s="24" t="s">
        <v>26</v>
      </c>
      <c r="C13" s="17" t="s">
        <v>27</v>
      </c>
      <c r="D13" s="18">
        <v>40642</v>
      </c>
      <c r="E13" s="19">
        <v>4500</v>
      </c>
      <c r="F13" s="20">
        <f ca="1" t="shared" si="0"/>
        <v>11</v>
      </c>
      <c r="G13" s="21">
        <f ca="1" t="shared" si="1"/>
        <v>1100</v>
      </c>
      <c r="H13" s="21">
        <v>450</v>
      </c>
      <c r="I13" s="21">
        <f>VLOOKUP(C13,职务津贴表!$A$1:$B$8,2,FALSE)</f>
        <v>1000</v>
      </c>
      <c r="J13" s="21">
        <f ca="1" t="shared" si="2"/>
        <v>7050</v>
      </c>
      <c r="K13" s="21">
        <v>380</v>
      </c>
      <c r="L13" s="21">
        <v>25.2</v>
      </c>
      <c r="M13" s="21">
        <f ca="1" t="shared" si="3"/>
        <v>6644.8</v>
      </c>
    </row>
    <row r="14" ht="18" customHeight="1" spans="1:13">
      <c r="A14" s="22" t="s">
        <v>36</v>
      </c>
      <c r="B14" s="24" t="s">
        <v>20</v>
      </c>
      <c r="C14" s="17" t="s">
        <v>37</v>
      </c>
      <c r="D14" s="18">
        <v>41154</v>
      </c>
      <c r="E14" s="19">
        <v>2500</v>
      </c>
      <c r="F14" s="20">
        <f ca="1" t="shared" si="0"/>
        <v>9</v>
      </c>
      <c r="G14" s="21">
        <f ca="1" t="shared" si="1"/>
        <v>900</v>
      </c>
      <c r="H14" s="21">
        <v>420</v>
      </c>
      <c r="I14" s="21">
        <f>VLOOKUP(C14,职务津贴表!$A$1:$B$8,2,FALSE)</f>
        <v>400</v>
      </c>
      <c r="J14" s="21">
        <f ca="1" t="shared" si="2"/>
        <v>4220</v>
      </c>
      <c r="K14" s="21">
        <v>440</v>
      </c>
      <c r="L14" s="21">
        <v>27.2</v>
      </c>
      <c r="M14" s="21">
        <f ca="1" t="shared" si="3"/>
        <v>3752.8</v>
      </c>
    </row>
    <row r="15" ht="18" customHeight="1" spans="1:13">
      <c r="A15" s="22" t="s">
        <v>38</v>
      </c>
      <c r="B15" s="24" t="s">
        <v>17</v>
      </c>
      <c r="C15" s="17" t="s">
        <v>23</v>
      </c>
      <c r="D15" s="18">
        <v>39943</v>
      </c>
      <c r="E15" s="19">
        <v>7000</v>
      </c>
      <c r="F15" s="20">
        <f ca="1" t="shared" si="0"/>
        <v>13</v>
      </c>
      <c r="G15" s="21">
        <f ca="1" t="shared" si="1"/>
        <v>1300</v>
      </c>
      <c r="H15" s="21">
        <v>600</v>
      </c>
      <c r="I15" s="21">
        <f>VLOOKUP(C15,职务津贴表!$A$1:$B$8,2,FALSE)</f>
        <v>900</v>
      </c>
      <c r="J15" s="21">
        <f ca="1" t="shared" si="2"/>
        <v>9800</v>
      </c>
      <c r="K15" s="21">
        <v>380</v>
      </c>
      <c r="L15" s="21">
        <v>25.2</v>
      </c>
      <c r="M15" s="21">
        <f ca="1" t="shared" si="3"/>
        <v>9394.8</v>
      </c>
    </row>
    <row r="16" ht="18" customHeight="1" spans="1:13">
      <c r="A16" s="22" t="s">
        <v>39</v>
      </c>
      <c r="B16" s="24" t="s">
        <v>17</v>
      </c>
      <c r="C16" s="17" t="s">
        <v>15</v>
      </c>
      <c r="D16" s="18">
        <v>40733</v>
      </c>
      <c r="E16" s="19">
        <v>4500</v>
      </c>
      <c r="F16" s="20">
        <f ca="1" t="shared" si="0"/>
        <v>11</v>
      </c>
      <c r="G16" s="21">
        <f ca="1" t="shared" si="1"/>
        <v>1100</v>
      </c>
      <c r="H16" s="21">
        <v>480</v>
      </c>
      <c r="I16" s="21">
        <f>VLOOKUP(C16,职务津贴表!$A$1:$B$8,2,FALSE)</f>
        <v>650</v>
      </c>
      <c r="J16" s="21">
        <f ca="1" t="shared" si="2"/>
        <v>6730</v>
      </c>
      <c r="K16" s="21">
        <v>440</v>
      </c>
      <c r="L16" s="21">
        <v>27.2</v>
      </c>
      <c r="M16" s="21">
        <f ca="1" t="shared" si="3"/>
        <v>6262.8</v>
      </c>
    </row>
    <row r="17" ht="18" customHeight="1" spans="1:13">
      <c r="A17" s="22" t="s">
        <v>40</v>
      </c>
      <c r="B17" s="24" t="s">
        <v>31</v>
      </c>
      <c r="C17" s="17" t="s">
        <v>33</v>
      </c>
      <c r="D17" s="18">
        <v>41434</v>
      </c>
      <c r="E17" s="19">
        <v>4500</v>
      </c>
      <c r="F17" s="20">
        <f ca="1" t="shared" si="0"/>
        <v>9</v>
      </c>
      <c r="G17" s="21">
        <f ca="1" t="shared" si="1"/>
        <v>900</v>
      </c>
      <c r="H17" s="21">
        <v>400</v>
      </c>
      <c r="I17" s="21">
        <f>VLOOKUP(C17,职务津贴表!$A$1:$B$8,2,FALSE)</f>
        <v>800</v>
      </c>
      <c r="J17" s="21">
        <f ca="1" t="shared" si="2"/>
        <v>6600</v>
      </c>
      <c r="K17" s="21">
        <v>440</v>
      </c>
      <c r="L17" s="21">
        <v>27.2</v>
      </c>
      <c r="M17" s="21">
        <f ca="1" t="shared" si="3"/>
        <v>6132.8</v>
      </c>
    </row>
    <row r="18" ht="18" customHeight="1" spans="1:13">
      <c r="A18" s="22" t="s">
        <v>41</v>
      </c>
      <c r="B18" s="24" t="s">
        <v>20</v>
      </c>
      <c r="C18" s="17" t="s">
        <v>18</v>
      </c>
      <c r="D18" s="18">
        <v>41904</v>
      </c>
      <c r="E18" s="19">
        <v>4800</v>
      </c>
      <c r="F18" s="20">
        <f ca="1" t="shared" si="0"/>
        <v>7</v>
      </c>
      <c r="G18" s="21">
        <f ca="1" t="shared" si="1"/>
        <v>700</v>
      </c>
      <c r="H18" s="21">
        <v>500</v>
      </c>
      <c r="I18" s="21">
        <f>VLOOKUP(C18,职务津贴表!$A$1:$B$8,2,FALSE)</f>
        <v>700</v>
      </c>
      <c r="J18" s="21">
        <f ca="1" t="shared" si="2"/>
        <v>6700</v>
      </c>
      <c r="K18" s="21">
        <v>440</v>
      </c>
      <c r="L18" s="21">
        <v>27.2</v>
      </c>
      <c r="M18" s="21">
        <f ca="1" t="shared" si="3"/>
        <v>6232.8</v>
      </c>
    </row>
    <row r="19" ht="18" customHeight="1" spans="1:13">
      <c r="A19" s="25" t="s">
        <v>42</v>
      </c>
      <c r="B19" s="26" t="s">
        <v>17</v>
      </c>
      <c r="C19" s="17" t="s">
        <v>37</v>
      </c>
      <c r="D19" s="18">
        <v>43282</v>
      </c>
      <c r="E19" s="19">
        <v>2900</v>
      </c>
      <c r="F19" s="20">
        <f ca="1" t="shared" si="0"/>
        <v>4</v>
      </c>
      <c r="G19" s="21">
        <f ca="1" t="shared" si="1"/>
        <v>400</v>
      </c>
      <c r="H19" s="21">
        <v>200</v>
      </c>
      <c r="I19" s="21">
        <f>VLOOKUP(C19,职务津贴表!$A$1:$B$8,2,FALSE)</f>
        <v>400</v>
      </c>
      <c r="J19" s="21">
        <f ca="1" t="shared" si="2"/>
        <v>3900</v>
      </c>
      <c r="K19" s="21">
        <v>0</v>
      </c>
      <c r="L19" s="21">
        <v>0</v>
      </c>
      <c r="M19" s="21">
        <f ca="1" t="shared" si="3"/>
        <v>3900</v>
      </c>
    </row>
    <row r="20" ht="18" customHeight="1" spans="1:13">
      <c r="A20" s="17" t="s">
        <v>43</v>
      </c>
      <c r="B20" s="17" t="s">
        <v>17</v>
      </c>
      <c r="C20" s="17" t="s">
        <v>15</v>
      </c>
      <c r="D20" s="18">
        <v>40441</v>
      </c>
      <c r="E20" s="19">
        <v>5800</v>
      </c>
      <c r="F20" s="20">
        <f ca="1" t="shared" si="0"/>
        <v>11</v>
      </c>
      <c r="G20" s="21">
        <f ca="1" t="shared" si="1"/>
        <v>1100</v>
      </c>
      <c r="H20" s="21">
        <v>200</v>
      </c>
      <c r="I20" s="21">
        <f>VLOOKUP(C20,职务津贴表!$A$1:$B$8,2,FALSE)</f>
        <v>650</v>
      </c>
      <c r="J20" s="21">
        <f ca="1" t="shared" si="2"/>
        <v>7750</v>
      </c>
      <c r="K20" s="21">
        <v>0</v>
      </c>
      <c r="L20" s="21">
        <v>0</v>
      </c>
      <c r="M20" s="21">
        <f ca="1" t="shared" si="3"/>
        <v>7750</v>
      </c>
    </row>
    <row r="21" ht="18" customHeight="1" spans="1:13">
      <c r="A21" s="17" t="s">
        <v>44</v>
      </c>
      <c r="B21" s="17" t="s">
        <v>14</v>
      </c>
      <c r="C21" s="17" t="s">
        <v>37</v>
      </c>
      <c r="D21" s="18">
        <v>41039</v>
      </c>
      <c r="E21" s="19">
        <v>3000</v>
      </c>
      <c r="F21" s="20">
        <f ca="1" t="shared" si="0"/>
        <v>10</v>
      </c>
      <c r="G21" s="21">
        <f ca="1" t="shared" si="1"/>
        <v>1000</v>
      </c>
      <c r="H21" s="21">
        <v>400</v>
      </c>
      <c r="I21" s="21">
        <f>VLOOKUP(C21,职务津贴表!$A$1:$B$8,2,FALSE)</f>
        <v>400</v>
      </c>
      <c r="J21" s="21">
        <f ca="1" t="shared" si="2"/>
        <v>4800</v>
      </c>
      <c r="K21" s="21">
        <v>440</v>
      </c>
      <c r="L21" s="21">
        <v>27.2</v>
      </c>
      <c r="M21" s="21">
        <f ca="1" t="shared" si="3"/>
        <v>4332.8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J18" sqref="J18"/>
    </sheetView>
  </sheetViews>
  <sheetFormatPr defaultColWidth="9" defaultRowHeight="15.3" outlineLevelRow="7" outlineLevelCol="1"/>
  <cols>
    <col min="1" max="1" width="10.5" style="12" customWidth="1"/>
    <col min="2" max="2" width="11.3771929824561" style="12" customWidth="1"/>
    <col min="3" max="4" width="6" style="12" customWidth="1"/>
    <col min="5" max="16384" width="9" style="12"/>
  </cols>
  <sheetData>
    <row r="1" ht="16.2" spans="1:2">
      <c r="A1" s="9" t="s">
        <v>45</v>
      </c>
      <c r="B1" s="9" t="s">
        <v>46</v>
      </c>
    </row>
    <row r="2" spans="1:2">
      <c r="A2" s="13" t="s">
        <v>15</v>
      </c>
      <c r="B2" s="14">
        <v>650</v>
      </c>
    </row>
    <row r="3" spans="1:2">
      <c r="A3" s="13" t="s">
        <v>18</v>
      </c>
      <c r="B3" s="14">
        <v>700</v>
      </c>
    </row>
    <row r="4" spans="1:2">
      <c r="A4" s="13" t="s">
        <v>23</v>
      </c>
      <c r="B4" s="14">
        <v>900</v>
      </c>
    </row>
    <row r="5" spans="1:2">
      <c r="A5" s="13" t="s">
        <v>33</v>
      </c>
      <c r="B5" s="14">
        <v>800</v>
      </c>
    </row>
    <row r="6" spans="1:2">
      <c r="A6" s="13" t="s">
        <v>37</v>
      </c>
      <c r="B6" s="14">
        <v>400</v>
      </c>
    </row>
    <row r="7" spans="1:2">
      <c r="A7" s="13" t="s">
        <v>27</v>
      </c>
      <c r="B7" s="14">
        <v>1000</v>
      </c>
    </row>
    <row r="8" spans="1:2">
      <c r="A8" s="13" t="s">
        <v>29</v>
      </c>
      <c r="B8" s="14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abSelected="1" topLeftCell="A43" workbookViewId="0">
      <selection activeCell="G55" sqref="G55"/>
    </sheetView>
  </sheetViews>
  <sheetFormatPr defaultColWidth="9" defaultRowHeight="14.1"/>
  <cols>
    <col min="2" max="2" width="8.12280701754386" customWidth="1"/>
    <col min="4" max="4" width="10.3771929824561"/>
    <col min="6" max="6" width="7.37719298245614" customWidth="1"/>
    <col min="8" max="8" width="9.5" customWidth="1"/>
    <col min="9" max="9" width="9.75438596491228" customWidth="1"/>
    <col min="11" max="11" width="9.75438596491228" customWidth="1"/>
    <col min="12" max="12" width="11.8771929824561" customWidth="1"/>
    <col min="13" max="13" width="11.2543859649123" customWidth="1"/>
  </cols>
  <sheetData>
    <row r="1" ht="16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16" customHeight="1" spans="1:13">
      <c r="A2" s="10" t="str">
        <f ca="1">OFFSET(工资核算表!$A$1,ROW()/3+1,COLUMN()-1)</f>
        <v>刘勇</v>
      </c>
      <c r="B2" s="10" t="str">
        <f ca="1">OFFSET(工资核算表!$A$1,ROW()/3+1,COLUMN()-1)</f>
        <v>业务部</v>
      </c>
      <c r="C2" s="10" t="str">
        <f ca="1">OFFSET(工资核算表!$A$1,ROW()/3+1,COLUMN()-1)</f>
        <v>技术员</v>
      </c>
      <c r="D2" s="11">
        <f ca="1">OFFSET(工资核算表!$A$1,ROW()/3+1,COLUMN()-1)</f>
        <v>41886</v>
      </c>
      <c r="E2" s="10">
        <f ca="1">OFFSET(工资核算表!$A$1,ROW()/3+1,COLUMN()-1)</f>
        <v>5000</v>
      </c>
      <c r="F2" s="10">
        <f ca="1">OFFSET(工资核算表!$A$1,ROW()/3+1,COLUMN()-1)</f>
        <v>7</v>
      </c>
      <c r="G2" s="10">
        <f ca="1">OFFSET(工资核算表!$A$1,ROW()/3+1,COLUMN()-1)</f>
        <v>700</v>
      </c>
      <c r="H2" s="10">
        <f ca="1">OFFSET(工资核算表!$A$1,ROW()/3+1,COLUMN()-1)</f>
        <v>450</v>
      </c>
      <c r="I2" s="10">
        <f ca="1">OFFSET(工资核算表!$A$1,ROW()/3+1,COLUMN()-1)</f>
        <v>650</v>
      </c>
      <c r="J2" s="10">
        <f ca="1">OFFSET(工资核算表!$A$1,ROW()/3+1,COLUMN()-1)</f>
        <v>6800</v>
      </c>
      <c r="K2" s="10">
        <f ca="1">OFFSET(工资核算表!$A$1,ROW()/3+1,COLUMN()-1)</f>
        <v>380</v>
      </c>
      <c r="L2" s="10">
        <f ca="1">OFFSET(工资核算表!$A$1,ROW()/3+1,COLUMN()-1)</f>
        <v>25.2</v>
      </c>
      <c r="M2" s="10">
        <f ca="1">OFFSET(工资核算表!$A$1,ROW()/3+1,COLUMN()-1)</f>
        <v>6394.8</v>
      </c>
    </row>
    <row r="4" ht="16.2" spans="1:13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>
      <c r="A5" s="10" t="str">
        <f ca="1">OFFSET(工资核算表!$A$1,ROW()/3+1,COLUMN()-1)</f>
        <v>蒋小智</v>
      </c>
      <c r="B5" s="10" t="str">
        <f ca="1">OFFSET(工资核算表!$A$1,ROW()/3+1,COLUMN()-1)</f>
        <v>生产部</v>
      </c>
      <c r="C5" s="10" t="str">
        <f ca="1">OFFSET(工资核算表!$A$1,ROW()/3+1,COLUMN()-1)</f>
        <v>专员</v>
      </c>
      <c r="D5" s="11">
        <f ca="1">OFFSET(工资核算表!$A$1,ROW()/3+1,COLUMN()-1)</f>
        <v>40787</v>
      </c>
      <c r="E5" s="10">
        <f ca="1">OFFSET(工资核算表!$A$1,ROW()/3+1,COLUMN()-1)</f>
        <v>3500</v>
      </c>
      <c r="F5" s="10">
        <f ca="1">OFFSET(工资核算表!$A$1,ROW()/3+1,COLUMN()-1)</f>
        <v>10</v>
      </c>
      <c r="G5" s="10">
        <f ca="1">OFFSET(工资核算表!$A$1,ROW()/3+1,COLUMN()-1)</f>
        <v>1000</v>
      </c>
      <c r="H5" s="10">
        <f ca="1">OFFSET(工资核算表!$A$1,ROW()/3+1,COLUMN()-1)</f>
        <v>380</v>
      </c>
      <c r="I5" s="10">
        <f ca="1">OFFSET(工资核算表!$A$1,ROW()/3+1,COLUMN()-1)</f>
        <v>700</v>
      </c>
      <c r="J5" s="10">
        <f ca="1">OFFSET(工资核算表!$A$1,ROW()/3+1,COLUMN()-1)</f>
        <v>5580</v>
      </c>
      <c r="K5" s="10">
        <f ca="1">OFFSET(工资核算表!$A$1,ROW()/3+1,COLUMN()-1)</f>
        <v>440</v>
      </c>
      <c r="L5" s="10">
        <f ca="1">OFFSET(工资核算表!$A$1,ROW()/3+1,COLUMN()-1)</f>
        <v>27.2</v>
      </c>
      <c r="M5" s="10">
        <f ca="1">OFFSET(工资核算表!$A$1,ROW()/3+1,COLUMN()-1)</f>
        <v>5112.8</v>
      </c>
    </row>
    <row r="7" ht="16.2" spans="1:13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</row>
    <row r="8" spans="1:13">
      <c r="A8" s="10" t="str">
        <f ca="1">OFFSET(工资核算表!$A$1,ROW()/3+1,COLUMN()-1)</f>
        <v>吴磊</v>
      </c>
      <c r="B8" s="10" t="str">
        <f ca="1">OFFSET(工资核算表!$A$1,ROW()/3+1,COLUMN()-1)</f>
        <v>行政部</v>
      </c>
      <c r="C8" s="10" t="str">
        <f ca="1">OFFSET(工资核算表!$A$1,ROW()/3+1,COLUMN()-1)</f>
        <v>技术员</v>
      </c>
      <c r="D8" s="11">
        <f ca="1">OFFSET(工资核算表!$A$1,ROW()/3+1,COLUMN()-1)</f>
        <v>40257</v>
      </c>
      <c r="E8" s="10">
        <f ca="1">OFFSET(工资核算表!$A$1,ROW()/3+1,COLUMN()-1)</f>
        <v>5000</v>
      </c>
      <c r="F8" s="10">
        <f ca="1">OFFSET(工资核算表!$A$1,ROW()/3+1,COLUMN()-1)</f>
        <v>12</v>
      </c>
      <c r="G8" s="10">
        <f ca="1">OFFSET(工资核算表!$A$1,ROW()/3+1,COLUMN()-1)</f>
        <v>1200</v>
      </c>
      <c r="H8" s="10">
        <f ca="1">OFFSET(工资核算表!$A$1,ROW()/3+1,COLUMN()-1)</f>
        <v>400</v>
      </c>
      <c r="I8" s="10">
        <f ca="1">OFFSET(工资核算表!$A$1,ROW()/3+1,COLUMN()-1)</f>
        <v>650</v>
      </c>
      <c r="J8" s="10">
        <f ca="1">OFFSET(工资核算表!$A$1,ROW()/3+1,COLUMN()-1)</f>
        <v>7250</v>
      </c>
      <c r="K8" s="10">
        <f ca="1">OFFSET(工资核算表!$A$1,ROW()/3+1,COLUMN()-1)</f>
        <v>440</v>
      </c>
      <c r="L8" s="10">
        <f ca="1">OFFSET(工资核算表!$A$1,ROW()/3+1,COLUMN()-1)</f>
        <v>27.2</v>
      </c>
      <c r="M8" s="10">
        <f ca="1">OFFSET(工资核算表!$A$1,ROW()/3+1,COLUMN()-1)</f>
        <v>6782.8</v>
      </c>
    </row>
    <row r="10" ht="16.2" spans="1:13">
      <c r="A10" s="9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9" t="s">
        <v>6</v>
      </c>
      <c r="H10" s="9" t="s">
        <v>7</v>
      </c>
      <c r="I10" s="9" t="s">
        <v>8</v>
      </c>
      <c r="J10" s="9" t="s">
        <v>9</v>
      </c>
      <c r="K10" s="9" t="s">
        <v>10</v>
      </c>
      <c r="L10" s="9" t="s">
        <v>11</v>
      </c>
      <c r="M10" s="9" t="s">
        <v>12</v>
      </c>
    </row>
    <row r="11" spans="1:13">
      <c r="A11" s="10" t="str">
        <f ca="1">OFFSET(工资核算表!$A$1,ROW()/3+1,COLUMN()-1)</f>
        <v>吴盼盼</v>
      </c>
      <c r="B11" s="10" t="str">
        <f ca="1">OFFSET(工资核算表!$A$1,ROW()/3+1,COLUMN()-1)</f>
        <v>生产部</v>
      </c>
      <c r="C11" s="10" t="str">
        <f ca="1">OFFSET(工资核算表!$A$1,ROW()/3+1,COLUMN()-1)</f>
        <v>专员</v>
      </c>
      <c r="D11" s="11">
        <f ca="1">OFFSET(工资核算表!$A$1,ROW()/3+1,COLUMN()-1)</f>
        <v>40824</v>
      </c>
      <c r="E11" s="10">
        <f ca="1">OFFSET(工资核算表!$A$1,ROW()/3+1,COLUMN()-1)</f>
        <v>3500</v>
      </c>
      <c r="F11" s="10">
        <f ca="1">OFFSET(工资核算表!$A$1,ROW()/3+1,COLUMN()-1)</f>
        <v>10</v>
      </c>
      <c r="G11" s="10">
        <f ca="1">OFFSET(工资核算表!$A$1,ROW()/3+1,COLUMN()-1)</f>
        <v>1000</v>
      </c>
      <c r="H11" s="10">
        <f ca="1">OFFSET(工资核算表!$A$1,ROW()/3+1,COLUMN()-1)</f>
        <v>400</v>
      </c>
      <c r="I11" s="10">
        <f ca="1">OFFSET(工资核算表!$A$1,ROW()/3+1,COLUMN()-1)</f>
        <v>700</v>
      </c>
      <c r="J11" s="10">
        <f ca="1">OFFSET(工资核算表!$A$1,ROW()/3+1,COLUMN()-1)</f>
        <v>5600</v>
      </c>
      <c r="K11" s="10">
        <f ca="1">OFFSET(工资核算表!$A$1,ROW()/3+1,COLUMN()-1)</f>
        <v>440</v>
      </c>
      <c r="L11" s="10">
        <f ca="1">OFFSET(工资核算表!$A$1,ROW()/3+1,COLUMN()-1)</f>
        <v>27.2</v>
      </c>
      <c r="M11" s="10">
        <f ca="1">OFFSET(工资核算表!$A$1,ROW()/3+1,COLUMN()-1)</f>
        <v>5132.8</v>
      </c>
    </row>
    <row r="13" ht="16.2" spans="1:13">
      <c r="A13" s="9" t="s">
        <v>0</v>
      </c>
      <c r="B13" s="9" t="s">
        <v>1</v>
      </c>
      <c r="C13" s="9" t="s">
        <v>2</v>
      </c>
      <c r="D13" s="9" t="s">
        <v>3</v>
      </c>
      <c r="E13" s="9" t="s">
        <v>4</v>
      </c>
      <c r="F13" s="9" t="s">
        <v>5</v>
      </c>
      <c r="G13" s="9" t="s">
        <v>6</v>
      </c>
      <c r="H13" s="9" t="s">
        <v>7</v>
      </c>
      <c r="I13" s="9" t="s">
        <v>8</v>
      </c>
      <c r="J13" s="9" t="s">
        <v>9</v>
      </c>
      <c r="K13" s="9" t="s">
        <v>10</v>
      </c>
      <c r="L13" s="9" t="s">
        <v>11</v>
      </c>
      <c r="M13" s="9" t="s">
        <v>12</v>
      </c>
    </row>
    <row r="14" spans="1:13">
      <c r="A14" s="10" t="str">
        <f ca="1">OFFSET(工资核算表!$A$1,ROW()/3+1,COLUMN()-1)</f>
        <v>孙乾</v>
      </c>
      <c r="B14" s="10" t="str">
        <f ca="1">OFFSET(工资核算表!$A$1,ROW()/3+1,COLUMN()-1)</f>
        <v>业务部</v>
      </c>
      <c r="C14" s="10" t="str">
        <f ca="1">OFFSET(工资核算表!$A$1,ROW()/3+1,COLUMN()-1)</f>
        <v>经理</v>
      </c>
      <c r="D14" s="11">
        <f ca="1">OFFSET(工资核算表!$A$1,ROW()/3+1,COLUMN()-1)</f>
        <v>39676</v>
      </c>
      <c r="E14" s="10">
        <f ca="1">OFFSET(工资核算表!$A$1,ROW()/3+1,COLUMN()-1)</f>
        <v>6000</v>
      </c>
      <c r="F14" s="10">
        <f ca="1">OFFSET(工资核算表!$A$1,ROW()/3+1,COLUMN()-1)</f>
        <v>13</v>
      </c>
      <c r="G14" s="10">
        <f ca="1">OFFSET(工资核算表!$A$1,ROW()/3+1,COLUMN()-1)</f>
        <v>1300</v>
      </c>
      <c r="H14" s="10">
        <f ca="1">OFFSET(工资核算表!$A$1,ROW()/3+1,COLUMN()-1)</f>
        <v>680</v>
      </c>
      <c r="I14" s="10">
        <f ca="1">OFFSET(工资核算表!$A$1,ROW()/3+1,COLUMN()-1)</f>
        <v>900</v>
      </c>
      <c r="J14" s="10">
        <f ca="1">OFFSET(工资核算表!$A$1,ROW()/3+1,COLUMN()-1)</f>
        <v>8880</v>
      </c>
      <c r="K14" s="10">
        <f ca="1">OFFSET(工资核算表!$A$1,ROW()/3+1,COLUMN()-1)</f>
        <v>380</v>
      </c>
      <c r="L14" s="10">
        <f ca="1">OFFSET(工资核算表!$A$1,ROW()/3+1,COLUMN()-1)</f>
        <v>25.2</v>
      </c>
      <c r="M14" s="10">
        <f ca="1">OFFSET(工资核算表!$A$1,ROW()/3+1,COLUMN()-1)</f>
        <v>8474.8</v>
      </c>
    </row>
    <row r="16" ht="16.2" spans="1:13">
      <c r="A16" s="9" t="s">
        <v>0</v>
      </c>
      <c r="B16" s="9" t="s">
        <v>1</v>
      </c>
      <c r="C16" s="9" t="s">
        <v>2</v>
      </c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9" t="s">
        <v>8</v>
      </c>
      <c r="J16" s="9" t="s">
        <v>9</v>
      </c>
      <c r="K16" s="9" t="s">
        <v>10</v>
      </c>
      <c r="L16" s="9" t="s">
        <v>11</v>
      </c>
      <c r="M16" s="9" t="s">
        <v>12</v>
      </c>
    </row>
    <row r="17" spans="1:13">
      <c r="A17" s="10" t="str">
        <f ca="1">OFFSET(工资核算表!$A$1,ROW()/3+1,COLUMN()-1)</f>
        <v>刘东</v>
      </c>
      <c r="B17" s="10" t="str">
        <f ca="1">OFFSET(工资核算表!$A$1,ROW()/3+1,COLUMN()-1)</f>
        <v>行政部</v>
      </c>
      <c r="C17" s="10" t="str">
        <f ca="1">OFFSET(工资核算表!$A$1,ROW()/3+1,COLUMN()-1)</f>
        <v>经理</v>
      </c>
      <c r="D17" s="11">
        <f ca="1">OFFSET(工资核算表!$A$1,ROW()/3+1,COLUMN()-1)</f>
        <v>39911</v>
      </c>
      <c r="E17" s="10">
        <f ca="1">OFFSET(工资核算表!$A$1,ROW()/3+1,COLUMN()-1)</f>
        <v>8500</v>
      </c>
      <c r="F17" s="10">
        <f ca="1">OFFSET(工资核算表!$A$1,ROW()/3+1,COLUMN()-1)</f>
        <v>13</v>
      </c>
      <c r="G17" s="10">
        <f ca="1">OFFSET(工资核算表!$A$1,ROW()/3+1,COLUMN()-1)</f>
        <v>1300</v>
      </c>
      <c r="H17" s="10">
        <f ca="1">OFFSET(工资核算表!$A$1,ROW()/3+1,COLUMN()-1)</f>
        <v>500</v>
      </c>
      <c r="I17" s="10">
        <f ca="1">OFFSET(工资核算表!$A$1,ROW()/3+1,COLUMN()-1)</f>
        <v>900</v>
      </c>
      <c r="J17" s="10">
        <f ca="1">OFFSET(工资核算表!$A$1,ROW()/3+1,COLUMN()-1)</f>
        <v>11200</v>
      </c>
      <c r="K17" s="10">
        <f ca="1">OFFSET(工资核算表!$A$1,ROW()/3+1,COLUMN()-1)</f>
        <v>440</v>
      </c>
      <c r="L17" s="10">
        <f ca="1">OFFSET(工资核算表!$A$1,ROW()/3+1,COLUMN()-1)</f>
        <v>27.2</v>
      </c>
      <c r="M17" s="10">
        <f ca="1">OFFSET(工资核算表!$A$1,ROW()/3+1,COLUMN()-1)</f>
        <v>10732.8</v>
      </c>
    </row>
    <row r="19" ht="16.2" spans="1:13">
      <c r="A19" s="9" t="s">
        <v>0</v>
      </c>
      <c r="B19" s="9" t="s">
        <v>1</v>
      </c>
      <c r="C19" s="9" t="s">
        <v>2</v>
      </c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9" t="s">
        <v>8</v>
      </c>
      <c r="J19" s="9" t="s">
        <v>9</v>
      </c>
      <c r="K19" s="9" t="s">
        <v>10</v>
      </c>
      <c r="L19" s="9" t="s">
        <v>11</v>
      </c>
      <c r="M19" s="9" t="s">
        <v>12</v>
      </c>
    </row>
    <row r="20" spans="1:13">
      <c r="A20" s="10" t="str">
        <f ca="1">OFFSET(工资核算表!$A$1,ROW()/3+1,COLUMN()-1)</f>
        <v>张婷</v>
      </c>
      <c r="B20" s="10" t="str">
        <f ca="1">OFFSET(工资核算表!$A$1,ROW()/3+1,COLUMN()-1)</f>
        <v>财务部</v>
      </c>
      <c r="C20" s="10" t="str">
        <f ca="1">OFFSET(工资核算表!$A$1,ROW()/3+1,COLUMN()-1)</f>
        <v>会计</v>
      </c>
      <c r="D20" s="11">
        <f ca="1">OFFSET(工资核算表!$A$1,ROW()/3+1,COLUMN()-1)</f>
        <v>43224</v>
      </c>
      <c r="E20" s="10">
        <f ca="1">OFFSET(工资核算表!$A$1,ROW()/3+1,COLUMN()-1)</f>
        <v>5000</v>
      </c>
      <c r="F20" s="10">
        <f ca="1">OFFSET(工资核算表!$A$1,ROW()/3+1,COLUMN()-1)</f>
        <v>4</v>
      </c>
      <c r="G20" s="10">
        <f ca="1">OFFSET(工资核算表!$A$1,ROW()/3+1,COLUMN()-1)</f>
        <v>400</v>
      </c>
      <c r="H20" s="10">
        <f ca="1">OFFSET(工资核算表!$A$1,ROW()/3+1,COLUMN()-1)</f>
        <v>200</v>
      </c>
      <c r="I20" s="10">
        <f ca="1">OFFSET(工资核算表!$A$1,ROW()/3+1,COLUMN()-1)</f>
        <v>1000</v>
      </c>
      <c r="J20" s="10">
        <f ca="1">OFFSET(工资核算表!$A$1,ROW()/3+1,COLUMN()-1)</f>
        <v>6600</v>
      </c>
      <c r="K20" s="10">
        <f ca="1">OFFSET(工资核算表!$A$1,ROW()/3+1,COLUMN()-1)</f>
        <v>0</v>
      </c>
      <c r="L20" s="10">
        <f ca="1">OFFSET(工资核算表!$A$1,ROW()/3+1,COLUMN()-1)</f>
        <v>0</v>
      </c>
      <c r="M20" s="10">
        <f ca="1">OFFSET(工资核算表!$A$1,ROW()/3+1,COLUMN()-1)</f>
        <v>6600</v>
      </c>
    </row>
    <row r="22" ht="16.2" spans="1:13">
      <c r="A22" s="9" t="s">
        <v>0</v>
      </c>
      <c r="B22" s="9" t="s">
        <v>1</v>
      </c>
      <c r="C22" s="9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9" t="s">
        <v>9</v>
      </c>
      <c r="K22" s="9" t="s">
        <v>10</v>
      </c>
      <c r="L22" s="9" t="s">
        <v>11</v>
      </c>
      <c r="M22" s="9" t="s">
        <v>12</v>
      </c>
    </row>
    <row r="23" spans="1:13">
      <c r="A23" s="10" t="str">
        <f ca="1">OFFSET(工资核算表!$A$1,ROW()/3+1,COLUMN()-1)</f>
        <v>刘珂</v>
      </c>
      <c r="B23" s="10" t="str">
        <f ca="1">OFFSET(工资核算表!$A$1,ROW()/3+1,COLUMN()-1)</f>
        <v>财务部</v>
      </c>
      <c r="C23" s="10" t="str">
        <f ca="1">OFFSET(工资核算表!$A$1,ROW()/3+1,COLUMN()-1)</f>
        <v>出纳</v>
      </c>
      <c r="D23" s="11">
        <f ca="1">OFFSET(工资核算表!$A$1,ROW()/3+1,COLUMN()-1)</f>
        <v>43260</v>
      </c>
      <c r="E23" s="10">
        <f ca="1">OFFSET(工资核算表!$A$1,ROW()/3+1,COLUMN()-1)</f>
        <v>2900</v>
      </c>
      <c r="F23" s="10">
        <f ca="1">OFFSET(工资核算表!$A$1,ROW()/3+1,COLUMN()-1)</f>
        <v>4</v>
      </c>
      <c r="G23" s="10">
        <f ca="1">OFFSET(工资核算表!$A$1,ROW()/3+1,COLUMN()-1)</f>
        <v>400</v>
      </c>
      <c r="H23" s="10">
        <f ca="1">OFFSET(工资核算表!$A$1,ROW()/3+1,COLUMN()-1)</f>
        <v>200</v>
      </c>
      <c r="I23" s="10">
        <f ca="1">OFFSET(工资核算表!$A$1,ROW()/3+1,COLUMN()-1)</f>
        <v>500</v>
      </c>
      <c r="J23" s="10">
        <f ca="1">OFFSET(工资核算表!$A$1,ROW()/3+1,COLUMN()-1)</f>
        <v>4000</v>
      </c>
      <c r="K23" s="10">
        <f ca="1">OFFSET(工资核算表!$A$1,ROW()/3+1,COLUMN()-1)</f>
        <v>0</v>
      </c>
      <c r="L23" s="10">
        <f ca="1">OFFSET(工资核算表!$A$1,ROW()/3+1,COLUMN()-1)</f>
        <v>0</v>
      </c>
      <c r="M23" s="10">
        <f ca="1">OFFSET(工资核算表!$A$1,ROW()/3+1,COLUMN()-1)</f>
        <v>4000</v>
      </c>
    </row>
    <row r="25" ht="16.2" spans="1:13">
      <c r="A25" s="9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9" t="s">
        <v>5</v>
      </c>
      <c r="G25" s="9" t="s">
        <v>6</v>
      </c>
      <c r="H25" s="9" t="s">
        <v>7</v>
      </c>
      <c r="I25" s="9" t="s">
        <v>8</v>
      </c>
      <c r="J25" s="9" t="s">
        <v>9</v>
      </c>
      <c r="K25" s="9" t="s">
        <v>10</v>
      </c>
      <c r="L25" s="9" t="s">
        <v>11</v>
      </c>
      <c r="M25" s="9" t="s">
        <v>12</v>
      </c>
    </row>
    <row r="26" spans="1:13">
      <c r="A26" s="10" t="str">
        <f ca="1">OFFSET(工资核算表!$A$1,ROW()/3+1,COLUMN()-1)</f>
        <v>吴美玲</v>
      </c>
      <c r="B26" s="10" t="str">
        <f ca="1">OFFSET(工资核算表!$A$1,ROW()/3+1,COLUMN()-1)</f>
        <v>设计部</v>
      </c>
      <c r="C26" s="10" t="str">
        <f ca="1">OFFSET(工资核算表!$A$1,ROW()/3+1,COLUMN()-1)</f>
        <v>经理</v>
      </c>
      <c r="D26" s="11">
        <f ca="1">OFFSET(工资核算表!$A$1,ROW()/3+1,COLUMN()-1)</f>
        <v>41157</v>
      </c>
      <c r="E26" s="10">
        <f ca="1">OFFSET(工资核算表!$A$1,ROW()/3+1,COLUMN()-1)</f>
        <v>8000</v>
      </c>
      <c r="F26" s="10">
        <f ca="1">OFFSET(工资核算表!$A$1,ROW()/3+1,COLUMN()-1)</f>
        <v>9</v>
      </c>
      <c r="G26" s="10">
        <f ca="1">OFFSET(工资核算表!$A$1,ROW()/3+1,COLUMN()-1)</f>
        <v>900</v>
      </c>
      <c r="H26" s="10">
        <f ca="1">OFFSET(工资核算表!$A$1,ROW()/3+1,COLUMN()-1)</f>
        <v>580</v>
      </c>
      <c r="I26" s="10">
        <f ca="1">OFFSET(工资核算表!$A$1,ROW()/3+1,COLUMN()-1)</f>
        <v>900</v>
      </c>
      <c r="J26" s="10">
        <f ca="1">OFFSET(工资核算表!$A$1,ROW()/3+1,COLUMN()-1)</f>
        <v>10380</v>
      </c>
      <c r="K26" s="10">
        <f ca="1">OFFSET(工资核算表!$A$1,ROW()/3+1,COLUMN()-1)</f>
        <v>440</v>
      </c>
      <c r="L26" s="10">
        <f ca="1">OFFSET(工资核算表!$A$1,ROW()/3+1,COLUMN()-1)</f>
        <v>27.2</v>
      </c>
      <c r="M26" s="10">
        <f ca="1">OFFSET(工资核算表!$A$1,ROW()/3+1,COLUMN()-1)</f>
        <v>9912.8</v>
      </c>
    </row>
    <row r="28" ht="16.2" spans="1:13">
      <c r="A28" s="9" t="s">
        <v>0</v>
      </c>
      <c r="B28" s="9" t="s">
        <v>1</v>
      </c>
      <c r="C28" s="9" t="s">
        <v>2</v>
      </c>
      <c r="D28" s="9" t="s">
        <v>3</v>
      </c>
      <c r="E28" s="9" t="s">
        <v>4</v>
      </c>
      <c r="F28" s="9" t="s">
        <v>5</v>
      </c>
      <c r="G28" s="9" t="s">
        <v>6</v>
      </c>
      <c r="H28" s="9" t="s">
        <v>7</v>
      </c>
      <c r="I28" s="9" t="s">
        <v>8</v>
      </c>
      <c r="J28" s="9" t="s">
        <v>9</v>
      </c>
      <c r="K28" s="9" t="s">
        <v>10</v>
      </c>
      <c r="L28" s="9" t="s">
        <v>11</v>
      </c>
      <c r="M28" s="9" t="s">
        <v>12</v>
      </c>
    </row>
    <row r="29" spans="1:13">
      <c r="A29" s="10" t="str">
        <f ca="1">OFFSET(工资核算表!$A$1,ROW()/3+1,COLUMN()-1)</f>
        <v>阮瑀</v>
      </c>
      <c r="B29" s="10" t="str">
        <f ca="1">OFFSET(工资核算表!$A$1,ROW()/3+1,COLUMN()-1)</f>
        <v>设计部</v>
      </c>
      <c r="C29" s="10" t="str">
        <f ca="1">OFFSET(工资核算表!$A$1,ROW()/3+1,COLUMN()-1)</f>
        <v>设计师</v>
      </c>
      <c r="D29" s="11">
        <f ca="1">OFFSET(工资核算表!$A$1,ROW()/3+1,COLUMN()-1)</f>
        <v>40394</v>
      </c>
      <c r="E29" s="10">
        <f ca="1">OFFSET(工资核算表!$A$1,ROW()/3+1,COLUMN()-1)</f>
        <v>4500</v>
      </c>
      <c r="F29" s="10">
        <f ca="1">OFFSET(工资核算表!$A$1,ROW()/3+1,COLUMN()-1)</f>
        <v>11</v>
      </c>
      <c r="G29" s="10">
        <f ca="1">OFFSET(工资核算表!$A$1,ROW()/3+1,COLUMN()-1)</f>
        <v>1100</v>
      </c>
      <c r="H29" s="10">
        <f ca="1">OFFSET(工资核算表!$A$1,ROW()/3+1,COLUMN()-1)</f>
        <v>400</v>
      </c>
      <c r="I29" s="10">
        <f ca="1">OFFSET(工资核算表!$A$1,ROW()/3+1,COLUMN()-1)</f>
        <v>800</v>
      </c>
      <c r="J29" s="10">
        <f ca="1">OFFSET(工资核算表!$A$1,ROW()/3+1,COLUMN()-1)</f>
        <v>6800</v>
      </c>
      <c r="K29" s="10">
        <f ca="1">OFFSET(工资核算表!$A$1,ROW()/3+1,COLUMN()-1)</f>
        <v>440</v>
      </c>
      <c r="L29" s="10">
        <f ca="1">OFFSET(工资核算表!$A$1,ROW()/3+1,COLUMN()-1)</f>
        <v>27.2</v>
      </c>
      <c r="M29" s="10">
        <f ca="1">OFFSET(工资核算表!$A$1,ROW()/3+1,COLUMN()-1)</f>
        <v>6332.8</v>
      </c>
    </row>
    <row r="31" ht="16.2" spans="1:13">
      <c r="A31" s="9" t="s">
        <v>0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  <c r="L31" s="9" t="s">
        <v>11</v>
      </c>
      <c r="M31" s="9" t="s">
        <v>12</v>
      </c>
    </row>
    <row r="32" spans="1:13">
      <c r="A32" s="10" t="str">
        <f ca="1">OFFSET(工资核算表!$A$1,ROW()/3+1,COLUMN()-1)</f>
        <v>赵富强</v>
      </c>
      <c r="B32" s="10" t="str">
        <f ca="1">OFFSET(工资核算表!$A$1,ROW()/3+1,COLUMN()-1)</f>
        <v>业务部</v>
      </c>
      <c r="C32" s="10" t="str">
        <f ca="1">OFFSET(工资核算表!$A$1,ROW()/3+1,COLUMN()-1)</f>
        <v>专员</v>
      </c>
      <c r="D32" s="11">
        <f ca="1">OFFSET(工资核算表!$A$1,ROW()/3+1,COLUMN()-1)</f>
        <v>43260</v>
      </c>
      <c r="E32" s="10">
        <f ca="1">OFFSET(工资核算表!$A$1,ROW()/3+1,COLUMN()-1)</f>
        <v>3500</v>
      </c>
      <c r="F32" s="10">
        <f ca="1">OFFSET(工资核算表!$A$1,ROW()/3+1,COLUMN()-1)</f>
        <v>4</v>
      </c>
      <c r="G32" s="10">
        <f ca="1">OFFSET(工资核算表!$A$1,ROW()/3+1,COLUMN()-1)</f>
        <v>400</v>
      </c>
      <c r="H32" s="10">
        <f ca="1">OFFSET(工资核算表!$A$1,ROW()/3+1,COLUMN()-1)</f>
        <v>380</v>
      </c>
      <c r="I32" s="10">
        <f ca="1">OFFSET(工资核算表!$A$1,ROW()/3+1,COLUMN()-1)</f>
        <v>700</v>
      </c>
      <c r="J32" s="10">
        <f ca="1">OFFSET(工资核算表!$A$1,ROW()/3+1,COLUMN()-1)</f>
        <v>4980</v>
      </c>
      <c r="K32" s="10">
        <f ca="1">OFFSET(工资核算表!$A$1,ROW()/3+1,COLUMN()-1)</f>
        <v>440</v>
      </c>
      <c r="L32" s="10">
        <f ca="1">OFFSET(工资核算表!$A$1,ROW()/3+1,COLUMN()-1)</f>
        <v>27.2</v>
      </c>
      <c r="M32" s="10">
        <f ca="1">OFFSET(工资核算表!$A$1,ROW()/3+1,COLUMN()-1)</f>
        <v>4512.8</v>
      </c>
    </row>
    <row r="34" ht="16.2" spans="1:13">
      <c r="A34" s="9" t="s">
        <v>0</v>
      </c>
      <c r="B34" s="9" t="s">
        <v>1</v>
      </c>
      <c r="C34" s="9" t="s">
        <v>2</v>
      </c>
      <c r="D34" s="9" t="s">
        <v>3</v>
      </c>
      <c r="E34" s="9" t="s">
        <v>4</v>
      </c>
      <c r="F34" s="9" t="s">
        <v>5</v>
      </c>
      <c r="G34" s="9" t="s">
        <v>6</v>
      </c>
      <c r="H34" s="9" t="s">
        <v>7</v>
      </c>
      <c r="I34" s="9" t="s">
        <v>8</v>
      </c>
      <c r="J34" s="9" t="s">
        <v>9</v>
      </c>
      <c r="K34" s="9" t="s">
        <v>10</v>
      </c>
      <c r="L34" s="9" t="s">
        <v>11</v>
      </c>
      <c r="M34" s="9" t="s">
        <v>12</v>
      </c>
    </row>
    <row r="35" spans="1:13">
      <c r="A35" s="10" t="str">
        <f ca="1">OFFSET(工资核算表!$A$1,ROW()/3+1,COLUMN()-1)</f>
        <v>张可</v>
      </c>
      <c r="B35" s="10" t="str">
        <f ca="1">OFFSET(工资核算表!$A$1,ROW()/3+1,COLUMN()-1)</f>
        <v>财务部</v>
      </c>
      <c r="C35" s="10" t="str">
        <f ca="1">OFFSET(工资核算表!$A$1,ROW()/3+1,COLUMN()-1)</f>
        <v>会计</v>
      </c>
      <c r="D35" s="11">
        <f ca="1">OFFSET(工资核算表!$A$1,ROW()/3+1,COLUMN()-1)</f>
        <v>40642</v>
      </c>
      <c r="E35" s="10">
        <f ca="1">OFFSET(工资核算表!$A$1,ROW()/3+1,COLUMN()-1)</f>
        <v>4500</v>
      </c>
      <c r="F35" s="10">
        <f ca="1">OFFSET(工资核算表!$A$1,ROW()/3+1,COLUMN()-1)</f>
        <v>11</v>
      </c>
      <c r="G35" s="10">
        <f ca="1">OFFSET(工资核算表!$A$1,ROW()/3+1,COLUMN()-1)</f>
        <v>1100</v>
      </c>
      <c r="H35" s="10">
        <f ca="1">OFFSET(工资核算表!$A$1,ROW()/3+1,COLUMN()-1)</f>
        <v>450</v>
      </c>
      <c r="I35" s="10">
        <f ca="1">OFFSET(工资核算表!$A$1,ROW()/3+1,COLUMN()-1)</f>
        <v>1000</v>
      </c>
      <c r="J35" s="10">
        <f ca="1">OFFSET(工资核算表!$A$1,ROW()/3+1,COLUMN()-1)</f>
        <v>7050</v>
      </c>
      <c r="K35" s="10">
        <f ca="1">OFFSET(工资核算表!$A$1,ROW()/3+1,COLUMN()-1)</f>
        <v>380</v>
      </c>
      <c r="L35" s="10">
        <f ca="1">OFFSET(工资核算表!$A$1,ROW()/3+1,COLUMN()-1)</f>
        <v>25.2</v>
      </c>
      <c r="M35" s="10">
        <f ca="1">OFFSET(工资核算表!$A$1,ROW()/3+1,COLUMN()-1)</f>
        <v>6644.8</v>
      </c>
    </row>
    <row r="37" ht="16.2" spans="1:13">
      <c r="A37" s="9" t="s">
        <v>0</v>
      </c>
      <c r="B37" s="9" t="s">
        <v>1</v>
      </c>
      <c r="C37" s="9" t="s">
        <v>2</v>
      </c>
      <c r="D37" s="9" t="s">
        <v>3</v>
      </c>
      <c r="E37" s="9" t="s">
        <v>4</v>
      </c>
      <c r="F37" s="9" t="s">
        <v>5</v>
      </c>
      <c r="G37" s="9" t="s">
        <v>6</v>
      </c>
      <c r="H37" s="9" t="s">
        <v>7</v>
      </c>
      <c r="I37" s="9" t="s">
        <v>8</v>
      </c>
      <c r="J37" s="9" t="s">
        <v>9</v>
      </c>
      <c r="K37" s="9" t="s">
        <v>10</v>
      </c>
      <c r="L37" s="9" t="s">
        <v>11</v>
      </c>
      <c r="M37" s="9" t="s">
        <v>12</v>
      </c>
    </row>
    <row r="38" spans="1:13">
      <c r="A38" s="10" t="str">
        <f ca="1">OFFSET(工资核算表!$A$1,ROW()/3+1,COLUMN()-1)</f>
        <v>江丽</v>
      </c>
      <c r="B38" s="10" t="str">
        <f ca="1">OFFSET(工资核算表!$A$1,ROW()/3+1,COLUMN()-1)</f>
        <v>行政部</v>
      </c>
      <c r="C38" s="10" t="str">
        <f ca="1">OFFSET(工资核算表!$A$1,ROW()/3+1,COLUMN()-1)</f>
        <v>实习</v>
      </c>
      <c r="D38" s="11">
        <f ca="1">OFFSET(工资核算表!$A$1,ROW()/3+1,COLUMN()-1)</f>
        <v>41154</v>
      </c>
      <c r="E38" s="10">
        <f ca="1">OFFSET(工资核算表!$A$1,ROW()/3+1,COLUMN()-1)</f>
        <v>2500</v>
      </c>
      <c r="F38" s="10">
        <f ca="1">OFFSET(工资核算表!$A$1,ROW()/3+1,COLUMN()-1)</f>
        <v>9</v>
      </c>
      <c r="G38" s="10">
        <f ca="1">OFFSET(工资核算表!$A$1,ROW()/3+1,COLUMN()-1)</f>
        <v>900</v>
      </c>
      <c r="H38" s="10">
        <f ca="1">OFFSET(工资核算表!$A$1,ROW()/3+1,COLUMN()-1)</f>
        <v>420</v>
      </c>
      <c r="I38" s="10">
        <f ca="1">OFFSET(工资核算表!$A$1,ROW()/3+1,COLUMN()-1)</f>
        <v>400</v>
      </c>
      <c r="J38" s="10">
        <f ca="1">OFFSET(工资核算表!$A$1,ROW()/3+1,COLUMN()-1)</f>
        <v>4220</v>
      </c>
      <c r="K38" s="10">
        <f ca="1">OFFSET(工资核算表!$A$1,ROW()/3+1,COLUMN()-1)</f>
        <v>440</v>
      </c>
      <c r="L38" s="10">
        <f ca="1">OFFSET(工资核算表!$A$1,ROW()/3+1,COLUMN()-1)</f>
        <v>27.2</v>
      </c>
      <c r="M38" s="10">
        <f ca="1">OFFSET(工资核算表!$A$1,ROW()/3+1,COLUMN()-1)</f>
        <v>3752.8</v>
      </c>
    </row>
    <row r="40" ht="16.2" spans="1:13">
      <c r="A40" s="9" t="s">
        <v>0</v>
      </c>
      <c r="B40" s="9" t="s">
        <v>1</v>
      </c>
      <c r="C40" s="9" t="s">
        <v>2</v>
      </c>
      <c r="D40" s="9" t="s">
        <v>3</v>
      </c>
      <c r="E40" s="9" t="s">
        <v>4</v>
      </c>
      <c r="F40" s="9" t="s">
        <v>5</v>
      </c>
      <c r="G40" s="9" t="s">
        <v>6</v>
      </c>
      <c r="H40" s="9" t="s">
        <v>7</v>
      </c>
      <c r="I40" s="9" t="s">
        <v>8</v>
      </c>
      <c r="J40" s="9" t="s">
        <v>9</v>
      </c>
      <c r="K40" s="9" t="s">
        <v>10</v>
      </c>
      <c r="L40" s="9" t="s">
        <v>11</v>
      </c>
      <c r="M40" s="9" t="s">
        <v>12</v>
      </c>
    </row>
    <row r="41" spans="1:13">
      <c r="A41" s="10" t="str">
        <f ca="1">OFFSET(工资核算表!$A$1,ROW()/3+1,COLUMN()-1)</f>
        <v>郑青</v>
      </c>
      <c r="B41" s="10" t="str">
        <f ca="1">OFFSET(工资核算表!$A$1,ROW()/3+1,COLUMN()-1)</f>
        <v>生产部</v>
      </c>
      <c r="C41" s="10" t="str">
        <f ca="1">OFFSET(工资核算表!$A$1,ROW()/3+1,COLUMN()-1)</f>
        <v>经理</v>
      </c>
      <c r="D41" s="11">
        <f ca="1">OFFSET(工资核算表!$A$1,ROW()/3+1,COLUMN()-1)</f>
        <v>39943</v>
      </c>
      <c r="E41" s="10">
        <f ca="1">OFFSET(工资核算表!$A$1,ROW()/3+1,COLUMN()-1)</f>
        <v>7000</v>
      </c>
      <c r="F41" s="10">
        <f ca="1">OFFSET(工资核算表!$A$1,ROW()/3+1,COLUMN()-1)</f>
        <v>13</v>
      </c>
      <c r="G41" s="10">
        <f ca="1">OFFSET(工资核算表!$A$1,ROW()/3+1,COLUMN()-1)</f>
        <v>1300</v>
      </c>
      <c r="H41" s="10">
        <f ca="1">OFFSET(工资核算表!$A$1,ROW()/3+1,COLUMN()-1)</f>
        <v>600</v>
      </c>
      <c r="I41" s="10">
        <f ca="1">OFFSET(工资核算表!$A$1,ROW()/3+1,COLUMN()-1)</f>
        <v>900</v>
      </c>
      <c r="J41" s="10">
        <f ca="1">OFFSET(工资核算表!$A$1,ROW()/3+1,COLUMN()-1)</f>
        <v>9800</v>
      </c>
      <c r="K41" s="10">
        <f ca="1">OFFSET(工资核算表!$A$1,ROW()/3+1,COLUMN()-1)</f>
        <v>380</v>
      </c>
      <c r="L41" s="10">
        <f ca="1">OFFSET(工资核算表!$A$1,ROW()/3+1,COLUMN()-1)</f>
        <v>25.2</v>
      </c>
      <c r="M41" s="10">
        <f ca="1">OFFSET(工资核算表!$A$1,ROW()/3+1,COLUMN()-1)</f>
        <v>9394.8</v>
      </c>
    </row>
    <row r="43" ht="16.2" spans="1:13">
      <c r="A43" s="9" t="s">
        <v>0</v>
      </c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9" t="s">
        <v>8</v>
      </c>
      <c r="J43" s="9" t="s">
        <v>9</v>
      </c>
      <c r="K43" s="9" t="s">
        <v>10</v>
      </c>
      <c r="L43" s="9" t="s">
        <v>11</v>
      </c>
      <c r="M43" s="9" t="s">
        <v>12</v>
      </c>
    </row>
    <row r="44" spans="1:13">
      <c r="A44" s="10" t="str">
        <f ca="1">OFFSET(工资核算表!$A$1,ROW()/3+1,COLUMN()-1)</f>
        <v>王蕾</v>
      </c>
      <c r="B44" s="10" t="str">
        <f ca="1">OFFSET(工资核算表!$A$1,ROW()/3+1,COLUMN()-1)</f>
        <v>生产部</v>
      </c>
      <c r="C44" s="10" t="str">
        <f ca="1">OFFSET(工资核算表!$A$1,ROW()/3+1,COLUMN()-1)</f>
        <v>技术员</v>
      </c>
      <c r="D44" s="11">
        <f ca="1">OFFSET(工资核算表!$A$1,ROW()/3+1,COLUMN()-1)</f>
        <v>40733</v>
      </c>
      <c r="E44" s="10">
        <f ca="1">OFFSET(工资核算表!$A$1,ROW()/3+1,COLUMN()-1)</f>
        <v>4500</v>
      </c>
      <c r="F44" s="10">
        <f ca="1">OFFSET(工资核算表!$A$1,ROW()/3+1,COLUMN()-1)</f>
        <v>11</v>
      </c>
      <c r="G44" s="10">
        <f ca="1">OFFSET(工资核算表!$A$1,ROW()/3+1,COLUMN()-1)</f>
        <v>1100</v>
      </c>
      <c r="H44" s="10">
        <f ca="1">OFFSET(工资核算表!$A$1,ROW()/3+1,COLUMN()-1)</f>
        <v>480</v>
      </c>
      <c r="I44" s="10">
        <f ca="1">OFFSET(工资核算表!$A$1,ROW()/3+1,COLUMN()-1)</f>
        <v>650</v>
      </c>
      <c r="J44" s="10">
        <f ca="1">OFFSET(工资核算表!$A$1,ROW()/3+1,COLUMN()-1)</f>
        <v>6730</v>
      </c>
      <c r="K44" s="10">
        <f ca="1">OFFSET(工资核算表!$A$1,ROW()/3+1,COLUMN()-1)</f>
        <v>440</v>
      </c>
      <c r="L44" s="10">
        <f ca="1">OFFSET(工资核算表!$A$1,ROW()/3+1,COLUMN()-1)</f>
        <v>27.2</v>
      </c>
      <c r="M44" s="10">
        <f ca="1">OFFSET(工资核算表!$A$1,ROW()/3+1,COLUMN()-1)</f>
        <v>6262.8</v>
      </c>
    </row>
    <row r="46" ht="16.2" spans="1:13">
      <c r="A46" s="9" t="s">
        <v>0</v>
      </c>
      <c r="B46" s="9" t="s">
        <v>1</v>
      </c>
      <c r="C46" s="9" t="s">
        <v>2</v>
      </c>
      <c r="D46" s="9" t="s">
        <v>3</v>
      </c>
      <c r="E46" s="9" t="s">
        <v>4</v>
      </c>
      <c r="F46" s="9" t="s">
        <v>5</v>
      </c>
      <c r="G46" s="9" t="s">
        <v>6</v>
      </c>
      <c r="H46" s="9" t="s">
        <v>7</v>
      </c>
      <c r="I46" s="9" t="s">
        <v>8</v>
      </c>
      <c r="J46" s="9" t="s">
        <v>9</v>
      </c>
      <c r="K46" s="9" t="s">
        <v>10</v>
      </c>
      <c r="L46" s="9" t="s">
        <v>11</v>
      </c>
      <c r="M46" s="9" t="s">
        <v>12</v>
      </c>
    </row>
    <row r="47" spans="1:13">
      <c r="A47" s="10" t="str">
        <f ca="1">OFFSET(工资核算表!$A$1,ROW()/3+1,COLUMN()-1)</f>
        <v>蒋芳芳</v>
      </c>
      <c r="B47" s="10" t="str">
        <f ca="1">OFFSET(工资核算表!$A$1,ROW()/3+1,COLUMN()-1)</f>
        <v>设计部</v>
      </c>
      <c r="C47" s="10" t="str">
        <f ca="1">OFFSET(工资核算表!$A$1,ROW()/3+1,COLUMN()-1)</f>
        <v>设计师</v>
      </c>
      <c r="D47" s="11">
        <f ca="1">OFFSET(工资核算表!$A$1,ROW()/3+1,COLUMN()-1)</f>
        <v>41434</v>
      </c>
      <c r="E47" s="10">
        <f ca="1">OFFSET(工资核算表!$A$1,ROW()/3+1,COLUMN()-1)</f>
        <v>4500</v>
      </c>
      <c r="F47" s="10">
        <f ca="1">OFFSET(工资核算表!$A$1,ROW()/3+1,COLUMN()-1)</f>
        <v>9</v>
      </c>
      <c r="G47" s="10">
        <f ca="1">OFFSET(工资核算表!$A$1,ROW()/3+1,COLUMN()-1)</f>
        <v>900</v>
      </c>
      <c r="H47" s="10">
        <f ca="1">OFFSET(工资核算表!$A$1,ROW()/3+1,COLUMN()-1)</f>
        <v>400</v>
      </c>
      <c r="I47" s="10">
        <f ca="1">OFFSET(工资核算表!$A$1,ROW()/3+1,COLUMN()-1)</f>
        <v>800</v>
      </c>
      <c r="J47" s="10">
        <f ca="1">OFFSET(工资核算表!$A$1,ROW()/3+1,COLUMN()-1)</f>
        <v>6600</v>
      </c>
      <c r="K47" s="10">
        <f ca="1">OFFSET(工资核算表!$A$1,ROW()/3+1,COLUMN()-1)</f>
        <v>440</v>
      </c>
      <c r="L47" s="10">
        <f ca="1">OFFSET(工资核算表!$A$1,ROW()/3+1,COLUMN()-1)</f>
        <v>27.2</v>
      </c>
      <c r="M47" s="10">
        <f ca="1">OFFSET(工资核算表!$A$1,ROW()/3+1,COLUMN()-1)</f>
        <v>6132.8</v>
      </c>
    </row>
    <row r="49" ht="16.2" spans="1:13">
      <c r="A49" s="9" t="s">
        <v>0</v>
      </c>
      <c r="B49" s="9" t="s">
        <v>1</v>
      </c>
      <c r="C49" s="9" t="s">
        <v>2</v>
      </c>
      <c r="D49" s="9" t="s">
        <v>3</v>
      </c>
      <c r="E49" s="9" t="s">
        <v>4</v>
      </c>
      <c r="F49" s="9" t="s">
        <v>5</v>
      </c>
      <c r="G49" s="9" t="s">
        <v>6</v>
      </c>
      <c r="H49" s="9" t="s">
        <v>7</v>
      </c>
      <c r="I49" s="9" t="s">
        <v>8</v>
      </c>
      <c r="J49" s="9" t="s">
        <v>9</v>
      </c>
      <c r="K49" s="9" t="s">
        <v>10</v>
      </c>
      <c r="L49" s="9" t="s">
        <v>11</v>
      </c>
      <c r="M49" s="9" t="s">
        <v>12</v>
      </c>
    </row>
    <row r="50" spans="1:13">
      <c r="A50" s="10" t="str">
        <f ca="1">OFFSET(工资核算表!$A$1,ROW()/3+1,COLUMN()-1)</f>
        <v>刘晓莉</v>
      </c>
      <c r="B50" s="10" t="str">
        <f ca="1">OFFSET(工资核算表!$A$1,ROW()/3+1,COLUMN()-1)</f>
        <v>行政部</v>
      </c>
      <c r="C50" s="10" t="str">
        <f ca="1">OFFSET(工资核算表!$A$1,ROW()/3+1,COLUMN()-1)</f>
        <v>专员</v>
      </c>
      <c r="D50" s="11">
        <f ca="1">OFFSET(工资核算表!$A$1,ROW()/3+1,COLUMN()-1)</f>
        <v>41904</v>
      </c>
      <c r="E50" s="10">
        <f ca="1">OFFSET(工资核算表!$A$1,ROW()/3+1,COLUMN()-1)</f>
        <v>4800</v>
      </c>
      <c r="F50" s="10">
        <f ca="1">OFFSET(工资核算表!$A$1,ROW()/3+1,COLUMN()-1)</f>
        <v>7</v>
      </c>
      <c r="G50" s="10">
        <f ca="1">OFFSET(工资核算表!$A$1,ROW()/3+1,COLUMN()-1)</f>
        <v>700</v>
      </c>
      <c r="H50" s="10">
        <f ca="1">OFFSET(工资核算表!$A$1,ROW()/3+1,COLUMN()-1)</f>
        <v>500</v>
      </c>
      <c r="I50" s="10">
        <f ca="1">OFFSET(工资核算表!$A$1,ROW()/3+1,COLUMN()-1)</f>
        <v>700</v>
      </c>
      <c r="J50" s="10">
        <f ca="1">OFFSET(工资核算表!$A$1,ROW()/3+1,COLUMN()-1)</f>
        <v>6700</v>
      </c>
      <c r="K50" s="10">
        <f ca="1">OFFSET(工资核算表!$A$1,ROW()/3+1,COLUMN()-1)</f>
        <v>440</v>
      </c>
      <c r="L50" s="10">
        <f ca="1">OFFSET(工资核算表!$A$1,ROW()/3+1,COLUMN()-1)</f>
        <v>27.2</v>
      </c>
      <c r="M50" s="10">
        <f ca="1">OFFSET(工资核算表!$A$1,ROW()/3+1,COLUMN()-1)</f>
        <v>6232.8</v>
      </c>
    </row>
    <row r="52" ht="16.2" spans="1:13">
      <c r="A52" s="9" t="s">
        <v>0</v>
      </c>
      <c r="B52" s="9" t="s">
        <v>1</v>
      </c>
      <c r="C52" s="9" t="s">
        <v>2</v>
      </c>
      <c r="D52" s="9" t="s">
        <v>3</v>
      </c>
      <c r="E52" s="9" t="s">
        <v>4</v>
      </c>
      <c r="F52" s="9" t="s">
        <v>5</v>
      </c>
      <c r="G52" s="9" t="s">
        <v>6</v>
      </c>
      <c r="H52" s="9" t="s">
        <v>7</v>
      </c>
      <c r="I52" s="9" t="s">
        <v>8</v>
      </c>
      <c r="J52" s="9" t="s">
        <v>9</v>
      </c>
      <c r="K52" s="9" t="s">
        <v>10</v>
      </c>
      <c r="L52" s="9" t="s">
        <v>11</v>
      </c>
      <c r="M52" s="9" t="s">
        <v>12</v>
      </c>
    </row>
    <row r="53" spans="1:13">
      <c r="A53" s="10" t="str">
        <f ca="1">OFFSET(工资核算表!$A$1,ROW()/3+1,COLUMN()-1)</f>
        <v>丁凯</v>
      </c>
      <c r="B53" s="10" t="str">
        <f ca="1">OFFSET(工资核算表!$A$1,ROW()/3+1,COLUMN()-1)</f>
        <v>生产部</v>
      </c>
      <c r="C53" s="10" t="str">
        <f ca="1">OFFSET(工资核算表!$A$1,ROW()/3+1,COLUMN()-1)</f>
        <v>实习</v>
      </c>
      <c r="D53" s="11">
        <f ca="1">OFFSET(工资核算表!$A$1,ROW()/3+1,COLUMN()-1)</f>
        <v>43282</v>
      </c>
      <c r="E53" s="10">
        <f ca="1">OFFSET(工资核算表!$A$1,ROW()/3+1,COLUMN()-1)</f>
        <v>2900</v>
      </c>
      <c r="F53" s="10">
        <f ca="1">OFFSET(工资核算表!$A$1,ROW()/3+1,COLUMN()-1)</f>
        <v>4</v>
      </c>
      <c r="G53" s="10">
        <f ca="1">OFFSET(工资核算表!$A$1,ROW()/3+1,COLUMN()-1)</f>
        <v>400</v>
      </c>
      <c r="H53" s="10">
        <f ca="1">OFFSET(工资核算表!$A$1,ROW()/3+1,COLUMN()-1)</f>
        <v>200</v>
      </c>
      <c r="I53" s="10">
        <f ca="1">OFFSET(工资核算表!$A$1,ROW()/3+1,COLUMN()-1)</f>
        <v>400</v>
      </c>
      <c r="J53" s="10">
        <f ca="1">OFFSET(工资核算表!$A$1,ROW()/3+1,COLUMN()-1)</f>
        <v>3900</v>
      </c>
      <c r="K53" s="10">
        <f ca="1">OFFSET(工资核算表!$A$1,ROW()/3+1,COLUMN()-1)</f>
        <v>0</v>
      </c>
      <c r="L53" s="10">
        <f ca="1">OFFSET(工资核算表!$A$1,ROW()/3+1,COLUMN()-1)</f>
        <v>0</v>
      </c>
      <c r="M53" s="10">
        <f ca="1">OFFSET(工资核算表!$A$1,ROW()/3+1,COLUMN()-1)</f>
        <v>3900</v>
      </c>
    </row>
    <row r="55" ht="16.2" spans="1:13">
      <c r="A55" s="9" t="s">
        <v>0</v>
      </c>
      <c r="B55" s="9" t="s">
        <v>1</v>
      </c>
      <c r="C55" s="9" t="s">
        <v>2</v>
      </c>
      <c r="D55" s="9" t="s">
        <v>3</v>
      </c>
      <c r="E55" s="9" t="s">
        <v>4</v>
      </c>
      <c r="F55" s="9" t="s">
        <v>5</v>
      </c>
      <c r="G55" s="9" t="s">
        <v>6</v>
      </c>
      <c r="H55" s="9" t="s">
        <v>7</v>
      </c>
      <c r="I55" s="9" t="s">
        <v>8</v>
      </c>
      <c r="J55" s="9" t="s">
        <v>9</v>
      </c>
      <c r="K55" s="9" t="s">
        <v>10</v>
      </c>
      <c r="L55" s="9" t="s">
        <v>11</v>
      </c>
      <c r="M55" s="9" t="s">
        <v>12</v>
      </c>
    </row>
    <row r="56" spans="1:13">
      <c r="A56" s="10" t="str">
        <f ca="1">OFFSET(工资核算表!$A$1,ROW()/3+1,COLUMN()-1)</f>
        <v>赵明曼</v>
      </c>
      <c r="B56" s="10" t="str">
        <f ca="1">OFFSET(工资核算表!$A$1,ROW()/3+1,COLUMN()-1)</f>
        <v>生产部</v>
      </c>
      <c r="C56" s="10" t="str">
        <f ca="1">OFFSET(工资核算表!$A$1,ROW()/3+1,COLUMN()-1)</f>
        <v>技术员</v>
      </c>
      <c r="D56" s="11">
        <f ca="1">OFFSET(工资核算表!$A$1,ROW()/3+1,COLUMN()-1)</f>
        <v>40441</v>
      </c>
      <c r="E56" s="10">
        <f ca="1">OFFSET(工资核算表!$A$1,ROW()/3+1,COLUMN()-1)</f>
        <v>5800</v>
      </c>
      <c r="F56" s="10">
        <f ca="1">OFFSET(工资核算表!$A$1,ROW()/3+1,COLUMN()-1)</f>
        <v>11</v>
      </c>
      <c r="G56" s="10">
        <f ca="1">OFFSET(工资核算表!$A$1,ROW()/3+1,COLUMN()-1)</f>
        <v>1100</v>
      </c>
      <c r="H56" s="10">
        <f ca="1">OFFSET(工资核算表!$A$1,ROW()/3+1,COLUMN()-1)</f>
        <v>200</v>
      </c>
      <c r="I56" s="10">
        <f ca="1">OFFSET(工资核算表!$A$1,ROW()/3+1,COLUMN()-1)</f>
        <v>650</v>
      </c>
      <c r="J56" s="10">
        <f ca="1">OFFSET(工资核算表!$A$1,ROW()/3+1,COLUMN()-1)</f>
        <v>7750</v>
      </c>
      <c r="K56" s="10">
        <f ca="1">OFFSET(工资核算表!$A$1,ROW()/3+1,COLUMN()-1)</f>
        <v>0</v>
      </c>
      <c r="L56" s="10">
        <f ca="1">OFFSET(工资核算表!$A$1,ROW()/3+1,COLUMN()-1)</f>
        <v>0</v>
      </c>
      <c r="M56" s="10">
        <f ca="1">OFFSET(工资核算表!$A$1,ROW()/3+1,COLUMN()-1)</f>
        <v>7750</v>
      </c>
    </row>
    <row r="58" ht="16.2" spans="1:13">
      <c r="A58" s="9" t="s">
        <v>0</v>
      </c>
      <c r="B58" s="9" t="s">
        <v>1</v>
      </c>
      <c r="C58" s="9" t="s">
        <v>2</v>
      </c>
      <c r="D58" s="9" t="s">
        <v>3</v>
      </c>
      <c r="E58" s="9" t="s">
        <v>4</v>
      </c>
      <c r="F58" s="9" t="s">
        <v>5</v>
      </c>
      <c r="G58" s="9" t="s">
        <v>6</v>
      </c>
      <c r="H58" s="9" t="s">
        <v>7</v>
      </c>
      <c r="I58" s="9" t="s">
        <v>8</v>
      </c>
      <c r="J58" s="9" t="s">
        <v>9</v>
      </c>
      <c r="K58" s="9" t="s">
        <v>10</v>
      </c>
      <c r="L58" s="9" t="s">
        <v>11</v>
      </c>
      <c r="M58" s="9" t="s">
        <v>12</v>
      </c>
    </row>
    <row r="59" spans="1:13">
      <c r="A59" s="10" t="str">
        <f ca="1">OFFSET(工资核算表!$A$1,ROW()/3+1,COLUMN()-1)</f>
        <v>吴浩</v>
      </c>
      <c r="B59" s="10" t="str">
        <f ca="1">OFFSET(工资核算表!$A$1,ROW()/3+1,COLUMN()-1)</f>
        <v>业务部</v>
      </c>
      <c r="C59" s="10" t="str">
        <f ca="1">OFFSET(工资核算表!$A$1,ROW()/3+1,COLUMN()-1)</f>
        <v>实习</v>
      </c>
      <c r="D59" s="11">
        <f ca="1">OFFSET(工资核算表!$A$1,ROW()/3+1,COLUMN()-1)</f>
        <v>41039</v>
      </c>
      <c r="E59" s="10">
        <f ca="1">OFFSET(工资核算表!$A$1,ROW()/3+1,COLUMN()-1)</f>
        <v>3000</v>
      </c>
      <c r="F59" s="10">
        <f ca="1">OFFSET(工资核算表!$A$1,ROW()/3+1,COLUMN()-1)</f>
        <v>10</v>
      </c>
      <c r="G59" s="10">
        <f ca="1">OFFSET(工资核算表!$A$1,ROW()/3+1,COLUMN()-1)</f>
        <v>1000</v>
      </c>
      <c r="H59" s="10">
        <f ca="1">OFFSET(工资核算表!$A$1,ROW()/3+1,COLUMN()-1)</f>
        <v>400</v>
      </c>
      <c r="I59" s="10">
        <f ca="1">OFFSET(工资核算表!$A$1,ROW()/3+1,COLUMN()-1)</f>
        <v>400</v>
      </c>
      <c r="J59" s="10">
        <f ca="1">OFFSET(工资核算表!$A$1,ROW()/3+1,COLUMN()-1)</f>
        <v>4800</v>
      </c>
      <c r="K59" s="10">
        <f ca="1">OFFSET(工资核算表!$A$1,ROW()/3+1,COLUMN()-1)</f>
        <v>440</v>
      </c>
      <c r="L59" s="10">
        <f ca="1">OFFSET(工资核算表!$A$1,ROW()/3+1,COLUMN()-1)</f>
        <v>27.2</v>
      </c>
      <c r="M59" s="10">
        <f ca="1">OFFSET(工资核算表!$A$1,ROW()/3+1,COLUMN()-1)</f>
        <v>4332.8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I28" sqref="I28"/>
    </sheetView>
  </sheetViews>
  <sheetFormatPr defaultColWidth="9" defaultRowHeight="16.5"/>
  <cols>
    <col min="1" max="1" width="8.5" style="1" customWidth="1"/>
    <col min="2" max="2" width="7.87719298245614" style="1" customWidth="1"/>
    <col min="3" max="3" width="8.62280701754386" style="1" customWidth="1"/>
    <col min="4" max="4" width="10.5" style="1" customWidth="1"/>
    <col min="5" max="5" width="12.7543859649123" style="1" customWidth="1"/>
    <col min="6" max="6" width="6.75438596491228" style="1" customWidth="1"/>
    <col min="7" max="7" width="12.1228070175439" style="2" customWidth="1"/>
    <col min="8" max="8" width="10.5" style="2" customWidth="1"/>
    <col min="9" max="9" width="11.8771929824561" style="2" customWidth="1"/>
    <col min="10" max="10" width="12.8771929824561" style="2" customWidth="1"/>
    <col min="11" max="11" width="10.7543859649123" style="2" customWidth="1"/>
    <col min="12" max="12" width="11.5" style="2" customWidth="1"/>
    <col min="13" max="13" width="12.8771929824561" style="2" customWidth="1"/>
    <col min="14" max="16384" width="9" style="1"/>
  </cols>
  <sheetData>
    <row r="1" s="1" customFormat="1" ht="18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ht="18" customHeight="1" spans="1:13">
      <c r="A2" s="4" t="s">
        <v>13</v>
      </c>
      <c r="B2" s="4" t="s">
        <v>14</v>
      </c>
      <c r="C2" s="4" t="s">
        <v>15</v>
      </c>
      <c r="D2" s="5">
        <v>41886</v>
      </c>
      <c r="E2" s="6">
        <v>5000</v>
      </c>
      <c r="F2" s="7">
        <f ca="1">DATEDIF(D2,TODAY(),"Y")</f>
        <v>7</v>
      </c>
      <c r="G2" s="8">
        <f ca="1">IF(F2&lt;4,F2*50,F2*100)</f>
        <v>700</v>
      </c>
      <c r="H2" s="6">
        <v>450</v>
      </c>
      <c r="I2" s="6">
        <f>VLOOKUP(C2,职务津贴表!$A$1:$B$8,2,FALSE)</f>
        <v>650</v>
      </c>
      <c r="J2" s="6">
        <f ca="1">E2+G2+H2+I2</f>
        <v>6800</v>
      </c>
      <c r="K2" s="6">
        <v>380</v>
      </c>
      <c r="L2" s="6">
        <v>25.2</v>
      </c>
      <c r="M2" s="6">
        <f ca="1">J2-K2-L2</f>
        <v>6394.8</v>
      </c>
    </row>
    <row r="3" s="1" customFormat="1" ht="18" customHeight="1" spans="1:13">
      <c r="A3" s="4" t="s">
        <v>16</v>
      </c>
      <c r="B3" s="4" t="s">
        <v>17</v>
      </c>
      <c r="C3" s="4" t="s">
        <v>18</v>
      </c>
      <c r="D3" s="5">
        <v>40787</v>
      </c>
      <c r="E3" s="6">
        <v>3500</v>
      </c>
      <c r="F3" s="7">
        <f ca="1" t="shared" ref="F3:F21" si="0">DATEDIF(D3,TODAY(),"Y")</f>
        <v>10</v>
      </c>
      <c r="G3" s="8">
        <f ca="1" t="shared" ref="G3:G21" si="1">IF(F3&lt;4,F3*50,F3*100)</f>
        <v>1000</v>
      </c>
      <c r="H3" s="6">
        <v>380</v>
      </c>
      <c r="I3" s="6">
        <f>VLOOKUP(C3,职务津贴表!$A$1:$B$8,2,FALSE)</f>
        <v>700</v>
      </c>
      <c r="J3" s="6">
        <f ca="1" t="shared" ref="J3:J21" si="2">E3+G3+H3+I3</f>
        <v>5580</v>
      </c>
      <c r="K3" s="6">
        <v>440</v>
      </c>
      <c r="L3" s="6">
        <v>27.2</v>
      </c>
      <c r="M3" s="6">
        <f ca="1" t="shared" ref="M3:M21" si="3">J3-K3-L3</f>
        <v>5112.8</v>
      </c>
    </row>
    <row r="4" s="1" customFormat="1" ht="18" customHeight="1" spans="1:13">
      <c r="A4" s="4" t="s">
        <v>19</v>
      </c>
      <c r="B4" s="4" t="s">
        <v>20</v>
      </c>
      <c r="C4" s="4" t="s">
        <v>15</v>
      </c>
      <c r="D4" s="5">
        <v>40257</v>
      </c>
      <c r="E4" s="6">
        <v>5000</v>
      </c>
      <c r="F4" s="7">
        <f ca="1" t="shared" si="0"/>
        <v>12</v>
      </c>
      <c r="G4" s="8">
        <f ca="1" t="shared" si="1"/>
        <v>1200</v>
      </c>
      <c r="H4" s="6">
        <v>400</v>
      </c>
      <c r="I4" s="6">
        <f>VLOOKUP(C4,职务津贴表!$A$1:$B$8,2,FALSE)</f>
        <v>650</v>
      </c>
      <c r="J4" s="6">
        <f ca="1" t="shared" si="2"/>
        <v>7250</v>
      </c>
      <c r="K4" s="6">
        <v>440</v>
      </c>
      <c r="L4" s="6">
        <v>27.2</v>
      </c>
      <c r="M4" s="6">
        <f ca="1" t="shared" si="3"/>
        <v>6782.8</v>
      </c>
    </row>
    <row r="5" s="1" customFormat="1" ht="18" customHeight="1" spans="1:13">
      <c r="A5" s="4" t="s">
        <v>21</v>
      </c>
      <c r="B5" s="4" t="s">
        <v>17</v>
      </c>
      <c r="C5" s="4" t="s">
        <v>18</v>
      </c>
      <c r="D5" s="5">
        <v>40824</v>
      </c>
      <c r="E5" s="6">
        <v>3500</v>
      </c>
      <c r="F5" s="7">
        <f ca="1" t="shared" si="0"/>
        <v>10</v>
      </c>
      <c r="G5" s="8">
        <f ca="1" t="shared" si="1"/>
        <v>1000</v>
      </c>
      <c r="H5" s="6">
        <v>400</v>
      </c>
      <c r="I5" s="6">
        <f>VLOOKUP(C5,职务津贴表!$A$1:$B$8,2,FALSE)</f>
        <v>700</v>
      </c>
      <c r="J5" s="6">
        <f ca="1" t="shared" si="2"/>
        <v>5600</v>
      </c>
      <c r="K5" s="6">
        <v>440</v>
      </c>
      <c r="L5" s="6">
        <v>27.2</v>
      </c>
      <c r="M5" s="6">
        <f ca="1" t="shared" si="3"/>
        <v>5132.8</v>
      </c>
    </row>
    <row r="6" s="1" customFormat="1" ht="18" customHeight="1" spans="1:13">
      <c r="A6" s="4" t="s">
        <v>22</v>
      </c>
      <c r="B6" s="4" t="s">
        <v>14</v>
      </c>
      <c r="C6" s="4" t="s">
        <v>23</v>
      </c>
      <c r="D6" s="5">
        <v>39676</v>
      </c>
      <c r="E6" s="6">
        <v>6000</v>
      </c>
      <c r="F6" s="7">
        <f ca="1" t="shared" si="0"/>
        <v>13</v>
      </c>
      <c r="G6" s="8">
        <f ca="1" t="shared" si="1"/>
        <v>1300</v>
      </c>
      <c r="H6" s="6">
        <v>680</v>
      </c>
      <c r="I6" s="6">
        <f>VLOOKUP(C6,职务津贴表!$A$1:$B$8,2,FALSE)</f>
        <v>900</v>
      </c>
      <c r="J6" s="6">
        <f ca="1" t="shared" si="2"/>
        <v>8880</v>
      </c>
      <c r="K6" s="6">
        <v>380</v>
      </c>
      <c r="L6" s="6">
        <v>25.2</v>
      </c>
      <c r="M6" s="6">
        <f ca="1" t="shared" si="3"/>
        <v>8474.8</v>
      </c>
    </row>
    <row r="7" s="1" customFormat="1" ht="18" customHeight="1" spans="1:13">
      <c r="A7" s="4" t="s">
        <v>24</v>
      </c>
      <c r="B7" s="4" t="s">
        <v>20</v>
      </c>
      <c r="C7" s="4" t="s">
        <v>23</v>
      </c>
      <c r="D7" s="5">
        <v>39911</v>
      </c>
      <c r="E7" s="6">
        <v>8500</v>
      </c>
      <c r="F7" s="7">
        <f ca="1" t="shared" si="0"/>
        <v>13</v>
      </c>
      <c r="G7" s="8">
        <f ca="1" t="shared" si="1"/>
        <v>1300</v>
      </c>
      <c r="H7" s="6">
        <v>500</v>
      </c>
      <c r="I7" s="6">
        <f>VLOOKUP(C7,职务津贴表!$A$1:$B$8,2,FALSE)</f>
        <v>900</v>
      </c>
      <c r="J7" s="6">
        <f ca="1" t="shared" si="2"/>
        <v>11200</v>
      </c>
      <c r="K7" s="6">
        <v>440</v>
      </c>
      <c r="L7" s="6">
        <v>27.2</v>
      </c>
      <c r="M7" s="6">
        <f ca="1" t="shared" si="3"/>
        <v>10732.8</v>
      </c>
    </row>
    <row r="8" s="1" customFormat="1" ht="18" customHeight="1" spans="1:13">
      <c r="A8" s="4" t="s">
        <v>25</v>
      </c>
      <c r="B8" s="4" t="s">
        <v>26</v>
      </c>
      <c r="C8" s="4" t="s">
        <v>27</v>
      </c>
      <c r="D8" s="5">
        <v>43224</v>
      </c>
      <c r="E8" s="6">
        <v>5000</v>
      </c>
      <c r="F8" s="7">
        <f ca="1" t="shared" si="0"/>
        <v>4</v>
      </c>
      <c r="G8" s="8">
        <f ca="1" t="shared" si="1"/>
        <v>400</v>
      </c>
      <c r="H8" s="6">
        <v>200</v>
      </c>
      <c r="I8" s="6">
        <f>VLOOKUP(C8,职务津贴表!$A$1:$B$8,2,FALSE)</f>
        <v>1000</v>
      </c>
      <c r="J8" s="6">
        <f ca="1" t="shared" si="2"/>
        <v>6600</v>
      </c>
      <c r="K8" s="6">
        <v>0</v>
      </c>
      <c r="L8" s="6">
        <v>0</v>
      </c>
      <c r="M8" s="6">
        <f ca="1" t="shared" si="3"/>
        <v>6600</v>
      </c>
    </row>
    <row r="9" s="1" customFormat="1" ht="18" customHeight="1" spans="1:13">
      <c r="A9" s="4" t="s">
        <v>28</v>
      </c>
      <c r="B9" s="4" t="s">
        <v>26</v>
      </c>
      <c r="C9" s="4" t="s">
        <v>29</v>
      </c>
      <c r="D9" s="5">
        <v>43260</v>
      </c>
      <c r="E9" s="6">
        <v>2900</v>
      </c>
      <c r="F9" s="7">
        <f ca="1" t="shared" si="0"/>
        <v>4</v>
      </c>
      <c r="G9" s="8">
        <f ca="1" t="shared" si="1"/>
        <v>400</v>
      </c>
      <c r="H9" s="6">
        <v>200</v>
      </c>
      <c r="I9" s="6">
        <f>VLOOKUP(C9,职务津贴表!$A$1:$B$8,2,FALSE)</f>
        <v>500</v>
      </c>
      <c r="J9" s="6">
        <f ca="1" t="shared" si="2"/>
        <v>4000</v>
      </c>
      <c r="K9" s="6">
        <v>0</v>
      </c>
      <c r="L9" s="6">
        <v>0</v>
      </c>
      <c r="M9" s="6">
        <f ca="1" t="shared" si="3"/>
        <v>4000</v>
      </c>
    </row>
    <row r="10" s="1" customFormat="1" ht="18" customHeight="1" spans="1:13">
      <c r="A10" s="4" t="s">
        <v>30</v>
      </c>
      <c r="B10" s="4" t="s">
        <v>31</v>
      </c>
      <c r="C10" s="4" t="s">
        <v>23</v>
      </c>
      <c r="D10" s="5">
        <v>41157</v>
      </c>
      <c r="E10" s="6">
        <v>8000</v>
      </c>
      <c r="F10" s="7">
        <f ca="1" t="shared" si="0"/>
        <v>9</v>
      </c>
      <c r="G10" s="8">
        <f ca="1" t="shared" si="1"/>
        <v>900</v>
      </c>
      <c r="H10" s="6">
        <v>580</v>
      </c>
      <c r="I10" s="6">
        <f>VLOOKUP(C10,职务津贴表!$A$1:$B$8,2,FALSE)</f>
        <v>900</v>
      </c>
      <c r="J10" s="6">
        <f ca="1" t="shared" si="2"/>
        <v>10380</v>
      </c>
      <c r="K10" s="6">
        <v>440</v>
      </c>
      <c r="L10" s="6">
        <v>27.2</v>
      </c>
      <c r="M10" s="6">
        <f ca="1" t="shared" si="3"/>
        <v>9912.8</v>
      </c>
    </row>
    <row r="11" s="1" customFormat="1" ht="18" customHeight="1" spans="1:13">
      <c r="A11" s="4" t="s">
        <v>32</v>
      </c>
      <c r="B11" s="4" t="s">
        <v>31</v>
      </c>
      <c r="C11" s="4" t="s">
        <v>33</v>
      </c>
      <c r="D11" s="5">
        <v>40394</v>
      </c>
      <c r="E11" s="6">
        <v>4500</v>
      </c>
      <c r="F11" s="7">
        <f ca="1" t="shared" si="0"/>
        <v>11</v>
      </c>
      <c r="G11" s="8">
        <f ca="1" t="shared" si="1"/>
        <v>1100</v>
      </c>
      <c r="H11" s="6">
        <v>400</v>
      </c>
      <c r="I11" s="6">
        <f>VLOOKUP(C11,职务津贴表!$A$1:$B$8,2,FALSE)</f>
        <v>800</v>
      </c>
      <c r="J11" s="6">
        <f ca="1" t="shared" si="2"/>
        <v>6800</v>
      </c>
      <c r="K11" s="6">
        <v>440</v>
      </c>
      <c r="L11" s="6">
        <v>27.2</v>
      </c>
      <c r="M11" s="6">
        <f ca="1" t="shared" si="3"/>
        <v>6332.8</v>
      </c>
    </row>
    <row r="12" s="1" customFormat="1" ht="18" customHeight="1" spans="1:13">
      <c r="A12" s="4" t="s">
        <v>34</v>
      </c>
      <c r="B12" s="4" t="s">
        <v>14</v>
      </c>
      <c r="C12" s="4" t="s">
        <v>18</v>
      </c>
      <c r="D12" s="5">
        <v>43260</v>
      </c>
      <c r="E12" s="6">
        <v>3500</v>
      </c>
      <c r="F12" s="7">
        <f ca="1" t="shared" si="0"/>
        <v>4</v>
      </c>
      <c r="G12" s="8">
        <f ca="1" t="shared" si="1"/>
        <v>400</v>
      </c>
      <c r="H12" s="6">
        <v>380</v>
      </c>
      <c r="I12" s="6">
        <f>VLOOKUP(C12,职务津贴表!$A$1:$B$8,2,FALSE)</f>
        <v>700</v>
      </c>
      <c r="J12" s="6">
        <f ca="1" t="shared" si="2"/>
        <v>4980</v>
      </c>
      <c r="K12" s="6">
        <v>440</v>
      </c>
      <c r="L12" s="6">
        <v>27.2</v>
      </c>
      <c r="M12" s="6">
        <f ca="1" t="shared" si="3"/>
        <v>4512.8</v>
      </c>
    </row>
    <row r="13" s="1" customFormat="1" ht="18" customHeight="1" spans="1:13">
      <c r="A13" s="4" t="s">
        <v>35</v>
      </c>
      <c r="B13" s="4" t="s">
        <v>26</v>
      </c>
      <c r="C13" s="4" t="s">
        <v>27</v>
      </c>
      <c r="D13" s="5">
        <v>40642</v>
      </c>
      <c r="E13" s="6">
        <v>4500</v>
      </c>
      <c r="F13" s="7">
        <f ca="1" t="shared" si="0"/>
        <v>11</v>
      </c>
      <c r="G13" s="8">
        <f ca="1" t="shared" si="1"/>
        <v>1100</v>
      </c>
      <c r="H13" s="6">
        <v>450</v>
      </c>
      <c r="I13" s="6">
        <f>VLOOKUP(C13,职务津贴表!$A$1:$B$8,2,FALSE)</f>
        <v>1000</v>
      </c>
      <c r="J13" s="6">
        <f ca="1" t="shared" si="2"/>
        <v>7050</v>
      </c>
      <c r="K13" s="6">
        <v>380</v>
      </c>
      <c r="L13" s="6">
        <v>25.2</v>
      </c>
      <c r="M13" s="6">
        <f ca="1" t="shared" si="3"/>
        <v>6644.8</v>
      </c>
    </row>
    <row r="14" s="1" customFormat="1" ht="18" customHeight="1" spans="1:13">
      <c r="A14" s="4" t="s">
        <v>36</v>
      </c>
      <c r="B14" s="4" t="s">
        <v>20</v>
      </c>
      <c r="C14" s="4" t="s">
        <v>37</v>
      </c>
      <c r="D14" s="5">
        <v>41154</v>
      </c>
      <c r="E14" s="6">
        <v>2500</v>
      </c>
      <c r="F14" s="7">
        <f ca="1" t="shared" si="0"/>
        <v>9</v>
      </c>
      <c r="G14" s="8">
        <f ca="1" t="shared" si="1"/>
        <v>900</v>
      </c>
      <c r="H14" s="6">
        <v>420</v>
      </c>
      <c r="I14" s="6">
        <f>VLOOKUP(C14,职务津贴表!$A$1:$B$8,2,FALSE)</f>
        <v>400</v>
      </c>
      <c r="J14" s="6">
        <f ca="1" t="shared" si="2"/>
        <v>4220</v>
      </c>
      <c r="K14" s="6">
        <v>440</v>
      </c>
      <c r="L14" s="6">
        <v>27.2</v>
      </c>
      <c r="M14" s="6">
        <f ca="1" t="shared" si="3"/>
        <v>3752.8</v>
      </c>
    </row>
    <row r="15" s="1" customFormat="1" ht="18" customHeight="1" spans="1:13">
      <c r="A15" s="4" t="s">
        <v>38</v>
      </c>
      <c r="B15" s="4" t="s">
        <v>17</v>
      </c>
      <c r="C15" s="4" t="s">
        <v>23</v>
      </c>
      <c r="D15" s="5">
        <v>39943</v>
      </c>
      <c r="E15" s="6">
        <v>7000</v>
      </c>
      <c r="F15" s="7">
        <f ca="1" t="shared" si="0"/>
        <v>13</v>
      </c>
      <c r="G15" s="8">
        <f ca="1" t="shared" si="1"/>
        <v>1300</v>
      </c>
      <c r="H15" s="6">
        <v>600</v>
      </c>
      <c r="I15" s="6">
        <f>VLOOKUP(C15,职务津贴表!$A$1:$B$8,2,FALSE)</f>
        <v>900</v>
      </c>
      <c r="J15" s="6">
        <f ca="1" t="shared" si="2"/>
        <v>9800</v>
      </c>
      <c r="K15" s="6">
        <v>380</v>
      </c>
      <c r="L15" s="6">
        <v>25.2</v>
      </c>
      <c r="M15" s="6">
        <f ca="1" t="shared" si="3"/>
        <v>9394.8</v>
      </c>
    </row>
    <row r="16" s="1" customFormat="1" ht="18" customHeight="1" spans="1:13">
      <c r="A16" s="4" t="s">
        <v>39</v>
      </c>
      <c r="B16" s="4" t="s">
        <v>17</v>
      </c>
      <c r="C16" s="4" t="s">
        <v>15</v>
      </c>
      <c r="D16" s="5">
        <v>40733</v>
      </c>
      <c r="E16" s="6">
        <v>4500</v>
      </c>
      <c r="F16" s="7">
        <f ca="1" t="shared" si="0"/>
        <v>11</v>
      </c>
      <c r="G16" s="8">
        <f ca="1" t="shared" si="1"/>
        <v>1100</v>
      </c>
      <c r="H16" s="6">
        <v>480</v>
      </c>
      <c r="I16" s="6">
        <f>VLOOKUP(C16,职务津贴表!$A$1:$B$8,2,FALSE)</f>
        <v>650</v>
      </c>
      <c r="J16" s="6">
        <f ca="1" t="shared" si="2"/>
        <v>6730</v>
      </c>
      <c r="K16" s="6">
        <v>440</v>
      </c>
      <c r="L16" s="6">
        <v>27.2</v>
      </c>
      <c r="M16" s="6">
        <f ca="1" t="shared" si="3"/>
        <v>6262.8</v>
      </c>
    </row>
    <row r="17" s="1" customFormat="1" ht="18" customHeight="1" spans="1:13">
      <c r="A17" s="4" t="s">
        <v>40</v>
      </c>
      <c r="B17" s="4" t="s">
        <v>31</v>
      </c>
      <c r="C17" s="4" t="s">
        <v>33</v>
      </c>
      <c r="D17" s="5">
        <v>41434</v>
      </c>
      <c r="E17" s="6">
        <v>4500</v>
      </c>
      <c r="F17" s="7">
        <f ca="1" t="shared" si="0"/>
        <v>9</v>
      </c>
      <c r="G17" s="8">
        <f ca="1" t="shared" si="1"/>
        <v>900</v>
      </c>
      <c r="H17" s="6">
        <v>400</v>
      </c>
      <c r="I17" s="6">
        <f>VLOOKUP(C17,职务津贴表!$A$1:$B$8,2,FALSE)</f>
        <v>800</v>
      </c>
      <c r="J17" s="6">
        <f ca="1" t="shared" si="2"/>
        <v>6600</v>
      </c>
      <c r="K17" s="6">
        <v>440</v>
      </c>
      <c r="L17" s="6">
        <v>27.2</v>
      </c>
      <c r="M17" s="6">
        <f ca="1" t="shared" si="3"/>
        <v>6132.8</v>
      </c>
    </row>
    <row r="18" s="1" customFormat="1" ht="18" customHeight="1" spans="1:13">
      <c r="A18" s="4" t="s">
        <v>41</v>
      </c>
      <c r="B18" s="4" t="s">
        <v>20</v>
      </c>
      <c r="C18" s="4" t="s">
        <v>18</v>
      </c>
      <c r="D18" s="5">
        <v>41904</v>
      </c>
      <c r="E18" s="6">
        <v>4800</v>
      </c>
      <c r="F18" s="7">
        <f ca="1" t="shared" si="0"/>
        <v>7</v>
      </c>
      <c r="G18" s="8">
        <f ca="1" t="shared" si="1"/>
        <v>700</v>
      </c>
      <c r="H18" s="6">
        <v>500</v>
      </c>
      <c r="I18" s="6">
        <f>VLOOKUP(C18,职务津贴表!$A$1:$B$8,2,FALSE)</f>
        <v>700</v>
      </c>
      <c r="J18" s="6">
        <f ca="1" t="shared" si="2"/>
        <v>6700</v>
      </c>
      <c r="K18" s="6">
        <v>440</v>
      </c>
      <c r="L18" s="6">
        <v>27.2</v>
      </c>
      <c r="M18" s="6">
        <f ca="1" t="shared" si="3"/>
        <v>6232.8</v>
      </c>
    </row>
    <row r="19" s="1" customFormat="1" ht="18" customHeight="1" spans="1:13">
      <c r="A19" s="4" t="s">
        <v>42</v>
      </c>
      <c r="B19" s="4" t="s">
        <v>17</v>
      </c>
      <c r="C19" s="4" t="s">
        <v>37</v>
      </c>
      <c r="D19" s="5">
        <v>43282</v>
      </c>
      <c r="E19" s="6">
        <v>2900</v>
      </c>
      <c r="F19" s="7">
        <f ca="1" t="shared" si="0"/>
        <v>4</v>
      </c>
      <c r="G19" s="8">
        <f ca="1" t="shared" si="1"/>
        <v>400</v>
      </c>
      <c r="H19" s="6">
        <v>200</v>
      </c>
      <c r="I19" s="6">
        <f>VLOOKUP(C19,职务津贴表!$A$1:$B$8,2,FALSE)</f>
        <v>400</v>
      </c>
      <c r="J19" s="6">
        <f ca="1" t="shared" si="2"/>
        <v>3900</v>
      </c>
      <c r="K19" s="6">
        <v>0</v>
      </c>
      <c r="L19" s="6">
        <v>0</v>
      </c>
      <c r="M19" s="6">
        <f ca="1" t="shared" si="3"/>
        <v>3900</v>
      </c>
    </row>
    <row r="20" s="1" customFormat="1" ht="18" customHeight="1" spans="1:13">
      <c r="A20" s="4" t="s">
        <v>43</v>
      </c>
      <c r="B20" s="4" t="s">
        <v>17</v>
      </c>
      <c r="C20" s="4" t="s">
        <v>15</v>
      </c>
      <c r="D20" s="5">
        <v>40441</v>
      </c>
      <c r="E20" s="6">
        <v>5800</v>
      </c>
      <c r="F20" s="7">
        <f ca="1" t="shared" si="0"/>
        <v>11</v>
      </c>
      <c r="G20" s="8">
        <f ca="1" t="shared" si="1"/>
        <v>1100</v>
      </c>
      <c r="H20" s="6">
        <v>200</v>
      </c>
      <c r="I20" s="6">
        <f>VLOOKUP(C20,职务津贴表!$A$1:$B$8,2,FALSE)</f>
        <v>650</v>
      </c>
      <c r="J20" s="6">
        <f ca="1" t="shared" si="2"/>
        <v>7750</v>
      </c>
      <c r="K20" s="6">
        <v>0</v>
      </c>
      <c r="L20" s="6">
        <v>0</v>
      </c>
      <c r="M20" s="6">
        <f ca="1" t="shared" si="3"/>
        <v>7750</v>
      </c>
    </row>
    <row r="21" s="1" customFormat="1" ht="18" customHeight="1" spans="1:13">
      <c r="A21" s="4" t="s">
        <v>44</v>
      </c>
      <c r="B21" s="4" t="s">
        <v>14</v>
      </c>
      <c r="C21" s="4" t="s">
        <v>37</v>
      </c>
      <c r="D21" s="5">
        <v>41039</v>
      </c>
      <c r="E21" s="6">
        <v>3000</v>
      </c>
      <c r="F21" s="7">
        <f ca="1" t="shared" si="0"/>
        <v>10</v>
      </c>
      <c r="G21" s="8">
        <f ca="1" t="shared" si="1"/>
        <v>1000</v>
      </c>
      <c r="H21" s="6">
        <v>400</v>
      </c>
      <c r="I21" s="6">
        <f>VLOOKUP(C21,职务津贴表!$A$1:$B$8,2,FALSE)</f>
        <v>400</v>
      </c>
      <c r="J21" s="6">
        <f ca="1" t="shared" si="2"/>
        <v>4800</v>
      </c>
      <c r="K21" s="6">
        <v>440</v>
      </c>
      <c r="L21" s="6">
        <v>27.2</v>
      </c>
      <c r="M21" s="6">
        <f ca="1" t="shared" si="3"/>
        <v>4332.8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工资核算表</vt:lpstr>
      <vt:lpstr>职务津贴表</vt:lpstr>
      <vt:lpstr>工资条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2020-07-31T01:28:00Z</dcterms:created>
  <dcterms:modified xsi:type="dcterms:W3CDTF">2022-07-20T03:22:21Z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977918E1FFE541109ADA169B7A74B29D</vt:lpwstr>
  </property>
</Properties>
</file>