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1950" activeTab="1"/>
  </bookViews>
  <sheets>
    <sheet name="SUM函数" sheetId="1" r:id="rId1"/>
    <sheet name="SUMIF函数" sheetId="2" r:id="rId2"/>
    <sheet name="SUMIFS函数" sheetId="3" r:id="rId3"/>
  </sheets>
  <definedNames>
    <definedName name="_xlnm._FilterDatabase" localSheetId="2" hidden="1">SUMIFS函数!$A$1:$G$17</definedName>
  </definedNames>
  <calcPr calcId="144525"/>
</workbook>
</file>

<file path=xl/sharedStrings.xml><?xml version="1.0" encoding="utf-8"?>
<sst xmlns="http://schemas.openxmlformats.org/spreadsheetml/2006/main" count="84" uniqueCount="68">
  <si>
    <t>品类</t>
  </si>
  <si>
    <t>华东</t>
  </si>
  <si>
    <t>华南</t>
  </si>
  <si>
    <t>华中</t>
  </si>
  <si>
    <t>华北</t>
  </si>
  <si>
    <t>矿泉水</t>
  </si>
  <si>
    <t>纯净水</t>
  </si>
  <si>
    <t>运动型饮料</t>
  </si>
  <si>
    <t>咖啡饮品</t>
  </si>
  <si>
    <t>碳酸饮料</t>
  </si>
  <si>
    <t>乳制饮品</t>
  </si>
  <si>
    <t>矿泉水销量</t>
  </si>
  <si>
    <t>华东+华北销量</t>
  </si>
  <si>
    <t>食品</t>
  </si>
  <si>
    <t>卡路里</t>
  </si>
  <si>
    <t>脂肪克数</t>
  </si>
  <si>
    <t>脂肪中的卡路里</t>
  </si>
  <si>
    <t>鸡汤的脂肪克数合计</t>
  </si>
  <si>
    <t>谷物</t>
  </si>
  <si>
    <t>鸡蛋</t>
  </si>
  <si>
    <t>鸡汤</t>
  </si>
  <si>
    <t>高于200的卡路里合计</t>
  </si>
  <si>
    <t>鸡肉</t>
  </si>
  <si>
    <t>蛋糕</t>
  </si>
  <si>
    <t>序号</t>
  </si>
  <si>
    <t>产品名称</t>
  </si>
  <si>
    <t>型号规格</t>
  </si>
  <si>
    <t>单位</t>
  </si>
  <si>
    <t>数量</t>
  </si>
  <si>
    <t>单价</t>
  </si>
  <si>
    <t>总价</t>
  </si>
  <si>
    <t>条件1：产品名称最后两个字是“开关”</t>
  </si>
  <si>
    <t>刀熔开关</t>
  </si>
  <si>
    <t>QSA-630/30 DIN630</t>
  </si>
  <si>
    <t>只</t>
  </si>
  <si>
    <t>条件2：单价“大于1000”</t>
  </si>
  <si>
    <t>电流互感器</t>
  </si>
  <si>
    <t>LMZJ1-0.5 500/5</t>
  </si>
  <si>
    <t>求和项：总价</t>
  </si>
  <si>
    <t>接地开关</t>
  </si>
  <si>
    <t>JN15-12/31.5-210</t>
  </si>
  <si>
    <t>套</t>
  </si>
  <si>
    <t>求和结果：</t>
  </si>
  <si>
    <t>多功能仪表</t>
  </si>
  <si>
    <t>HD194E-9SY</t>
  </si>
  <si>
    <t>熔断器</t>
  </si>
  <si>
    <t>NH00-63A</t>
  </si>
  <si>
    <r>
      <rPr>
        <sz val="11"/>
        <rFont val="微软雅黑"/>
        <charset val="134"/>
      </rPr>
      <t>10KV</t>
    </r>
    <r>
      <rPr>
        <sz val="10"/>
        <rFont val="微软雅黑"/>
        <charset val="134"/>
      </rPr>
      <t>隔离开关</t>
    </r>
  </si>
  <si>
    <t>GN30-10KV/630</t>
  </si>
  <si>
    <t>无功补偿控制器</t>
  </si>
  <si>
    <t>KDJKW-18FD</t>
  </si>
  <si>
    <t>共补电容器</t>
  </si>
  <si>
    <t>KDBC450-18/3</t>
  </si>
  <si>
    <t>分补电容器</t>
  </si>
  <si>
    <t>KDBC250-9*3/1</t>
  </si>
  <si>
    <t>补偿复合开关</t>
  </si>
  <si>
    <t>KDFK-400/20S</t>
  </si>
  <si>
    <t>KDFK-230/30F</t>
  </si>
  <si>
    <t>避雷器</t>
  </si>
  <si>
    <t>FYS-0.22</t>
  </si>
  <si>
    <t>主铜排</t>
  </si>
  <si>
    <t>TMY-100*8</t>
  </si>
  <si>
    <t>M</t>
  </si>
  <si>
    <t>TMY-50*5</t>
  </si>
  <si>
    <t>分支铜排</t>
  </si>
  <si>
    <t>柜壳</t>
  </si>
  <si>
    <t>800W*1000D*2200H</t>
  </si>
  <si>
    <t>台</t>
  </si>
</sst>
</file>

<file path=xl/styles.xml><?xml version="1.0" encoding="utf-8"?>
<styleSheet xmlns="http://schemas.openxmlformats.org/spreadsheetml/2006/main">
  <numFmts count="7">
    <numFmt numFmtId="176" formatCode="&quot;￥&quot;#,##0.00_);[Red]\(&quot;￥&quot;#,##0.00\)"/>
    <numFmt numFmtId="177" formatCode="\¥#,##0.00_);[Red]\(\¥#,##0.00\)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178" formatCode="0.00_);\(0.00\)"/>
  </numFmts>
  <fonts count="27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11"/>
      <color rgb="FF000000"/>
      <name val="微软雅黑"/>
      <charset val="134"/>
    </font>
    <font>
      <b/>
      <sz val="11"/>
      <color rgb="FFFFFFFF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6" fillId="21" borderId="8" applyNumberForma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8" fillId="18" borderId="8" applyNumberForma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0" fillId="28" borderId="9" applyNumberFormat="0" applyAlignment="0" applyProtection="0">
      <alignment vertical="center"/>
    </xf>
    <xf numFmtId="0" fontId="15" fillId="18" borderId="7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78" fontId="2" fillId="2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right" vertical="center" wrapText="1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1" xfId="0" applyFont="1" applyBorder="1">
      <alignment vertical="center"/>
    </xf>
    <xf numFmtId="176" fontId="1" fillId="0" borderId="1" xfId="0" applyNumberFormat="1" applyFont="1" applyBorder="1">
      <alignment vertical="center"/>
    </xf>
    <xf numFmtId="176" fontId="1" fillId="0" borderId="0" xfId="0" applyNumberFormat="1" applyFont="1" applyBorder="1">
      <alignment vertical="center"/>
    </xf>
    <xf numFmtId="0" fontId="1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177" fontId="1" fillId="0" borderId="1" xfId="0" applyNumberFormat="1" applyFont="1" applyFill="1" applyBorder="1" applyAlignment="1">
      <alignment horizontal="right" vertical="center"/>
    </xf>
    <xf numFmtId="0" fontId="6" fillId="4" borderId="2" xfId="0" applyFont="1" applyFill="1" applyBorder="1" applyAlignme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B11" sqref="B11"/>
    </sheetView>
  </sheetViews>
  <sheetFormatPr defaultColWidth="9" defaultRowHeight="16.3" outlineLevelCol="4"/>
  <cols>
    <col min="1" max="1" width="14.125" style="1" customWidth="1"/>
    <col min="2" max="5" width="12.7583333333333" style="1" customWidth="1"/>
    <col min="6" max="16384" width="9" style="1"/>
  </cols>
  <sheetData>
    <row r="1" ht="21" customHeight="1" spans="1: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</row>
    <row r="2" ht="21" customHeight="1" spans="1:5">
      <c r="A2" s="18" t="s">
        <v>5</v>
      </c>
      <c r="B2" s="19">
        <v>1057</v>
      </c>
      <c r="C2" s="19">
        <v>817</v>
      </c>
      <c r="D2" s="19">
        <v>922</v>
      </c>
      <c r="E2" s="19">
        <v>529</v>
      </c>
    </row>
    <row r="3" ht="21" customHeight="1" spans="1:5">
      <c r="A3" s="18" t="s">
        <v>6</v>
      </c>
      <c r="B3" s="19">
        <v>922</v>
      </c>
      <c r="C3" s="19">
        <v>560.5</v>
      </c>
      <c r="D3" s="19">
        <v>939</v>
      </c>
      <c r="E3" s="19">
        <v>952</v>
      </c>
    </row>
    <row r="4" ht="21" customHeight="1" spans="1:5">
      <c r="A4" s="18" t="s">
        <v>7</v>
      </c>
      <c r="B4" s="19">
        <v>939</v>
      </c>
      <c r="C4" s="19">
        <v>577</v>
      </c>
      <c r="D4" s="19">
        <v>1102</v>
      </c>
      <c r="E4" s="19">
        <v>1027</v>
      </c>
    </row>
    <row r="5" ht="21" customHeight="1" spans="1:5">
      <c r="A5" s="18" t="s">
        <v>8</v>
      </c>
      <c r="B5" s="19">
        <v>1102</v>
      </c>
      <c r="C5" s="19">
        <v>847</v>
      </c>
      <c r="D5" s="19">
        <v>592</v>
      </c>
      <c r="E5" s="19">
        <v>817</v>
      </c>
    </row>
    <row r="6" ht="21" customHeight="1" spans="1:5">
      <c r="A6" s="18" t="s">
        <v>9</v>
      </c>
      <c r="B6" s="19">
        <v>592</v>
      </c>
      <c r="C6" s="19">
        <v>1252</v>
      </c>
      <c r="D6" s="19">
        <v>1087</v>
      </c>
      <c r="E6" s="19">
        <v>580.5</v>
      </c>
    </row>
    <row r="7" ht="21" customHeight="1" spans="1:5">
      <c r="A7" s="18" t="s">
        <v>10</v>
      </c>
      <c r="B7" s="19">
        <v>1087</v>
      </c>
      <c r="C7" s="19">
        <v>560.5</v>
      </c>
      <c r="D7" s="19">
        <v>745</v>
      </c>
      <c r="E7" s="19">
        <v>1252</v>
      </c>
    </row>
    <row r="8" ht="21" customHeight="1"/>
    <row r="9" ht="21" customHeight="1" spans="1:2">
      <c r="A9" s="20" t="s">
        <v>11</v>
      </c>
      <c r="B9" s="12">
        <f>SUM(B2:E2)</f>
        <v>3325</v>
      </c>
    </row>
    <row r="10" ht="21" customHeight="1" spans="1:2">
      <c r="A10" s="20" t="s">
        <v>12</v>
      </c>
      <c r="B10" s="12">
        <f>SUM(B2:B7,E2:E7)</f>
        <v>10856.5</v>
      </c>
    </row>
    <row r="11" ht="21" customHeight="1"/>
    <row r="12" ht="21" customHeight="1"/>
    <row r="13" ht="21" customHeight="1"/>
    <row r="14" ht="21" customHeight="1"/>
    <row r="15" ht="21" customHeight="1"/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J8" sqref="J8"/>
    </sheetView>
  </sheetViews>
  <sheetFormatPr defaultColWidth="9" defaultRowHeight="16.3" outlineLevelRow="6" outlineLevelCol="5"/>
  <cols>
    <col min="1" max="1" width="7.625" style="14" customWidth="1"/>
    <col min="2" max="2" width="7.875" style="14" customWidth="1"/>
    <col min="3" max="3" width="9" style="14"/>
    <col min="4" max="4" width="15.375" style="14" customWidth="1"/>
    <col min="5" max="5" width="4.625" style="14" customWidth="1"/>
    <col min="6" max="6" width="19.375" style="14" customWidth="1"/>
    <col min="7" max="16384" width="9" style="14"/>
  </cols>
  <sheetData>
    <row r="1" ht="24" customHeight="1" spans="1:6">
      <c r="A1" s="15" t="s">
        <v>13</v>
      </c>
      <c r="B1" s="15" t="s">
        <v>14</v>
      </c>
      <c r="C1" s="15" t="s">
        <v>15</v>
      </c>
      <c r="D1" s="15" t="s">
        <v>16</v>
      </c>
      <c r="F1" s="15" t="s">
        <v>17</v>
      </c>
    </row>
    <row r="2" ht="24" customHeight="1" spans="1:6">
      <c r="A2" s="16" t="s">
        <v>18</v>
      </c>
      <c r="B2" s="16">
        <v>175</v>
      </c>
      <c r="C2" s="16">
        <v>5</v>
      </c>
      <c r="D2" s="16">
        <v>45</v>
      </c>
      <c r="F2" s="16">
        <f ca="1">SUMIF(A1:D7,"鸡汤",B1:B7)</f>
        <v>240</v>
      </c>
    </row>
    <row r="3" ht="24" customHeight="1" spans="1:4">
      <c r="A3" s="16" t="s">
        <v>19</v>
      </c>
      <c r="B3" s="16">
        <v>300</v>
      </c>
      <c r="C3" s="16">
        <v>16</v>
      </c>
      <c r="D3" s="16">
        <v>144</v>
      </c>
    </row>
    <row r="4" ht="24" customHeight="1" spans="1:6">
      <c r="A4" s="16" t="s">
        <v>20</v>
      </c>
      <c r="B4" s="16">
        <v>120</v>
      </c>
      <c r="C4" s="16">
        <v>3</v>
      </c>
      <c r="D4" s="16">
        <v>27</v>
      </c>
      <c r="F4" s="15" t="s">
        <v>21</v>
      </c>
    </row>
    <row r="5" ht="24" customHeight="1" spans="1:6">
      <c r="A5" s="16" t="s">
        <v>22</v>
      </c>
      <c r="B5" s="16">
        <v>110</v>
      </c>
      <c r="C5" s="16">
        <v>3</v>
      </c>
      <c r="D5" s="16">
        <v>27</v>
      </c>
      <c r="F5" s="14">
        <f ca="1">SUMIF(B1:D7,"&gt;200",B1:B7)</f>
        <v>550</v>
      </c>
    </row>
    <row r="6" ht="24" customHeight="1" spans="1:4">
      <c r="A6" s="16" t="s">
        <v>23</v>
      </c>
      <c r="B6" s="16">
        <v>250</v>
      </c>
      <c r="C6" s="16">
        <v>18</v>
      </c>
      <c r="D6" s="16">
        <v>162</v>
      </c>
    </row>
    <row r="7" ht="24" customHeight="1" spans="1:4">
      <c r="A7" s="16" t="s">
        <v>20</v>
      </c>
      <c r="B7" s="16">
        <v>120</v>
      </c>
      <c r="C7" s="16">
        <v>3</v>
      </c>
      <c r="D7" s="16">
        <v>27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showGridLines="0" workbookViewId="0">
      <selection activeCell="M21" sqref="M21"/>
    </sheetView>
  </sheetViews>
  <sheetFormatPr defaultColWidth="9" defaultRowHeight="16.3"/>
  <cols>
    <col min="1" max="1" width="5.75833333333333" style="1" customWidth="1"/>
    <col min="2" max="2" width="14.5" style="1" customWidth="1"/>
    <col min="3" max="3" width="20.7583333333333" style="1" customWidth="1"/>
    <col min="4" max="4" width="8.125" style="1" customWidth="1"/>
    <col min="5" max="5" width="7.375" style="1" customWidth="1"/>
    <col min="6" max="6" width="11.375" style="1" customWidth="1"/>
    <col min="7" max="7" width="12.2583333333333" style="1" customWidth="1"/>
    <col min="8" max="8" width="4" style="1" customWidth="1"/>
    <col min="9" max="10" width="16.7583333333333" style="1" customWidth="1"/>
    <col min="11" max="16384" width="9" style="1"/>
  </cols>
  <sheetData>
    <row r="1" ht="21.95" customHeight="1" spans="1:10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7" t="s">
        <v>29</v>
      </c>
      <c r="G1" s="7" t="s">
        <v>30</v>
      </c>
      <c r="I1" s="9" t="s">
        <v>31</v>
      </c>
      <c r="J1" s="10"/>
    </row>
    <row r="2" ht="21.95" customHeight="1" spans="1:10">
      <c r="A2" s="3">
        <v>1</v>
      </c>
      <c r="B2" s="4" t="s">
        <v>32</v>
      </c>
      <c r="C2" s="4" t="s">
        <v>33</v>
      </c>
      <c r="D2" s="5" t="s">
        <v>34</v>
      </c>
      <c r="E2" s="5">
        <v>2</v>
      </c>
      <c r="F2" s="8">
        <v>1537.2</v>
      </c>
      <c r="G2" s="8">
        <f t="shared" ref="G2:G7" si="0">E2*F2</f>
        <v>3074.4</v>
      </c>
      <c r="I2" s="9" t="s">
        <v>35</v>
      </c>
      <c r="J2" s="10"/>
    </row>
    <row r="3" ht="21.95" customHeight="1" spans="1:10">
      <c r="A3" s="3">
        <v>2</v>
      </c>
      <c r="B3" s="4" t="s">
        <v>36</v>
      </c>
      <c r="C3" s="4" t="s">
        <v>37</v>
      </c>
      <c r="D3" s="5" t="s">
        <v>34</v>
      </c>
      <c r="E3" s="5">
        <v>6</v>
      </c>
      <c r="F3" s="8">
        <v>42</v>
      </c>
      <c r="G3" s="8">
        <f t="shared" si="0"/>
        <v>252</v>
      </c>
      <c r="I3" s="9" t="s">
        <v>38</v>
      </c>
      <c r="J3" s="10"/>
    </row>
    <row r="4" ht="21" customHeight="1" spans="1:10">
      <c r="A4" s="3">
        <v>3</v>
      </c>
      <c r="B4" s="4" t="s">
        <v>39</v>
      </c>
      <c r="C4" s="4" t="s">
        <v>40</v>
      </c>
      <c r="D4" s="5" t="s">
        <v>41</v>
      </c>
      <c r="E4" s="5">
        <v>2</v>
      </c>
      <c r="F4" s="8">
        <v>830</v>
      </c>
      <c r="G4" s="8">
        <f t="shared" si="0"/>
        <v>1660</v>
      </c>
      <c r="I4" s="11" t="s">
        <v>42</v>
      </c>
      <c r="J4" s="12">
        <f>SUMIFS($G$2:$G$17,$B$2:$B$17,"*开关",$F$2:$F$17,"&gt;1000")</f>
        <v>6374.4</v>
      </c>
    </row>
    <row r="5" ht="21.95" customHeight="1" spans="1:7">
      <c r="A5" s="3">
        <v>4</v>
      </c>
      <c r="B5" s="6" t="s">
        <v>43</v>
      </c>
      <c r="C5" s="4" t="s">
        <v>44</v>
      </c>
      <c r="D5" s="5" t="s">
        <v>34</v>
      </c>
      <c r="E5" s="5">
        <v>3</v>
      </c>
      <c r="F5" s="8">
        <v>1440</v>
      </c>
      <c r="G5" s="8">
        <f t="shared" si="0"/>
        <v>4320</v>
      </c>
    </row>
    <row r="6" ht="21.95" customHeight="1" spans="1:15">
      <c r="A6" s="3">
        <v>5</v>
      </c>
      <c r="B6" s="6" t="s">
        <v>45</v>
      </c>
      <c r="C6" s="4" t="s">
        <v>46</v>
      </c>
      <c r="D6" s="5" t="s">
        <v>34</v>
      </c>
      <c r="E6" s="5">
        <v>20</v>
      </c>
      <c r="F6" s="8">
        <v>36</v>
      </c>
      <c r="G6" s="8">
        <f t="shared" si="0"/>
        <v>720</v>
      </c>
      <c r="O6" s="13"/>
    </row>
    <row r="7" ht="21" customHeight="1" spans="1:7">
      <c r="A7" s="3">
        <v>6</v>
      </c>
      <c r="B7" s="4" t="s">
        <v>47</v>
      </c>
      <c r="C7" s="4" t="s">
        <v>48</v>
      </c>
      <c r="D7" s="5" t="s">
        <v>34</v>
      </c>
      <c r="E7" s="5">
        <v>2</v>
      </c>
      <c r="F7" s="8">
        <v>1650</v>
      </c>
      <c r="G7" s="8">
        <f t="shared" si="0"/>
        <v>3300</v>
      </c>
    </row>
    <row r="8" ht="21.95" customHeight="1" spans="1:7">
      <c r="A8" s="3">
        <v>7</v>
      </c>
      <c r="B8" s="4" t="s">
        <v>49</v>
      </c>
      <c r="C8" s="4" t="s">
        <v>50</v>
      </c>
      <c r="D8" s="5" t="s">
        <v>34</v>
      </c>
      <c r="E8" s="5">
        <v>2</v>
      </c>
      <c r="F8" s="8">
        <v>990</v>
      </c>
      <c r="G8" s="8">
        <f t="shared" ref="G8:G17" si="1">E8*F8</f>
        <v>1980</v>
      </c>
    </row>
    <row r="9" ht="21.95" customHeight="1" spans="1:7">
      <c r="A9" s="3">
        <v>8</v>
      </c>
      <c r="B9" s="4" t="s">
        <v>51</v>
      </c>
      <c r="C9" s="4" t="s">
        <v>52</v>
      </c>
      <c r="D9" s="5" t="s">
        <v>34</v>
      </c>
      <c r="E9" s="5">
        <v>10</v>
      </c>
      <c r="F9" s="8">
        <v>290.4</v>
      </c>
      <c r="G9" s="8">
        <f t="shared" si="1"/>
        <v>2904</v>
      </c>
    </row>
    <row r="10" ht="21.95" customHeight="1" spans="1:7">
      <c r="A10" s="3">
        <v>9</v>
      </c>
      <c r="B10" s="4" t="s">
        <v>53</v>
      </c>
      <c r="C10" s="4" t="s">
        <v>54</v>
      </c>
      <c r="D10" s="5" t="s">
        <v>34</v>
      </c>
      <c r="E10" s="5">
        <v>2</v>
      </c>
      <c r="F10" s="8">
        <v>726</v>
      </c>
      <c r="G10" s="8">
        <f t="shared" si="1"/>
        <v>1452</v>
      </c>
    </row>
    <row r="11" ht="21.95" customHeight="1" spans="1:7">
      <c r="A11" s="3">
        <v>10</v>
      </c>
      <c r="B11" s="4" t="s">
        <v>55</v>
      </c>
      <c r="C11" s="4" t="s">
        <v>56</v>
      </c>
      <c r="D11" s="5" t="s">
        <v>34</v>
      </c>
      <c r="E11" s="5">
        <v>5</v>
      </c>
      <c r="F11" s="8">
        <v>369.6</v>
      </c>
      <c r="G11" s="8">
        <f t="shared" si="1"/>
        <v>1848</v>
      </c>
    </row>
    <row r="12" ht="21.95" customHeight="1" spans="1:7">
      <c r="A12" s="3">
        <v>11</v>
      </c>
      <c r="B12" s="4" t="s">
        <v>55</v>
      </c>
      <c r="C12" s="4" t="s">
        <v>57</v>
      </c>
      <c r="D12" s="5" t="s">
        <v>34</v>
      </c>
      <c r="E12" s="5">
        <v>4</v>
      </c>
      <c r="F12" s="8">
        <v>396</v>
      </c>
      <c r="G12" s="8">
        <f t="shared" si="1"/>
        <v>1584</v>
      </c>
    </row>
    <row r="13" ht="21.95" customHeight="1" spans="1:7">
      <c r="A13" s="3">
        <v>12</v>
      </c>
      <c r="B13" s="4" t="s">
        <v>58</v>
      </c>
      <c r="C13" s="4" t="s">
        <v>59</v>
      </c>
      <c r="D13" s="5" t="s">
        <v>34</v>
      </c>
      <c r="E13" s="5">
        <v>5</v>
      </c>
      <c r="F13" s="8">
        <v>31.2</v>
      </c>
      <c r="G13" s="8">
        <f t="shared" si="1"/>
        <v>156</v>
      </c>
    </row>
    <row r="14" ht="21.95" customHeight="1" spans="1:7">
      <c r="A14" s="3">
        <v>13</v>
      </c>
      <c r="B14" s="4" t="s">
        <v>60</v>
      </c>
      <c r="C14" s="4" t="s">
        <v>61</v>
      </c>
      <c r="D14" s="5" t="s">
        <v>62</v>
      </c>
      <c r="E14" s="5">
        <v>2.5</v>
      </c>
      <c r="F14" s="8">
        <v>495.552</v>
      </c>
      <c r="G14" s="8">
        <f t="shared" si="1"/>
        <v>1238.88</v>
      </c>
    </row>
    <row r="15" ht="21.95" customHeight="1" spans="1:7">
      <c r="A15" s="3">
        <v>14</v>
      </c>
      <c r="B15" s="4" t="s">
        <v>60</v>
      </c>
      <c r="C15" s="4" t="s">
        <v>63</v>
      </c>
      <c r="D15" s="5" t="s">
        <v>62</v>
      </c>
      <c r="E15" s="5">
        <v>0.6</v>
      </c>
      <c r="F15" s="8">
        <v>154.86</v>
      </c>
      <c r="G15" s="8">
        <f t="shared" si="1"/>
        <v>92.916</v>
      </c>
    </row>
    <row r="16" ht="21.95" customHeight="1" spans="1:7">
      <c r="A16" s="3">
        <v>15</v>
      </c>
      <c r="B16" s="4" t="s">
        <v>64</v>
      </c>
      <c r="C16" s="4" t="s">
        <v>63</v>
      </c>
      <c r="D16" s="5" t="s">
        <v>62</v>
      </c>
      <c r="E16" s="5">
        <v>5</v>
      </c>
      <c r="F16" s="8">
        <v>154.86</v>
      </c>
      <c r="G16" s="8">
        <f t="shared" si="1"/>
        <v>774.3</v>
      </c>
    </row>
    <row r="17" ht="21.95" customHeight="1" spans="1:7">
      <c r="A17" s="3">
        <v>16</v>
      </c>
      <c r="B17" s="4" t="s">
        <v>65</v>
      </c>
      <c r="C17" s="4" t="s">
        <v>66</v>
      </c>
      <c r="D17" s="5" t="s">
        <v>67</v>
      </c>
      <c r="E17" s="5">
        <v>1</v>
      </c>
      <c r="F17" s="8">
        <v>1080</v>
      </c>
      <c r="G17" s="8">
        <f t="shared" si="1"/>
        <v>1080</v>
      </c>
    </row>
  </sheetData>
  <mergeCells count="3">
    <mergeCell ref="I1:J1"/>
    <mergeCell ref="I2:J2"/>
    <mergeCell ref="I3:J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SUM函数</vt:lpstr>
      <vt:lpstr>SUMIF函数</vt:lpstr>
      <vt:lpstr>SUMIFS函数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请认真花三秒时间读完我的名字谢谢</cp:lastModifiedBy>
  <dcterms:created xsi:type="dcterms:W3CDTF">2020-07-28T06:38:00Z</dcterms:created>
  <dcterms:modified xsi:type="dcterms:W3CDTF">2026-08-26T09:52:17Z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C32745E60D4D42A79A606A0B91A5F855</vt:lpwstr>
  </property>
</Properties>
</file>